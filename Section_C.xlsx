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8A2020E7177C1C5/Documents/DIA TOPS/EXCEL_ASSESSMENT/"/>
    </mc:Choice>
  </mc:AlternateContent>
  <xr:revisionPtr revIDLastSave="3" documentId="8_{297002F8-4C56-435F-8A08-4E214282B72E}" xr6:coauthVersionLast="47" xr6:coauthVersionMax="47" xr10:uidLastSave="{1504EE46-99CC-4AC6-A3D5-49C9C3ABBD25}"/>
  <bookViews>
    <workbookView xWindow="-108" yWindow="-108" windowWidth="23256" windowHeight="12456" tabRatio="500" activeTab="3" xr2:uid="{00000000-000D-0000-FFFF-FFFF00000000}"/>
  </bookViews>
  <sheets>
    <sheet name="Restaurants" sheetId="1" r:id="rId1"/>
    <sheet name="Orders" sheetId="2" r:id="rId2"/>
    <sheet name="Zone Stats" sheetId="3" r:id="rId3"/>
    <sheet name="INTERACTIVE_DASHBOARD" sheetId="6" r:id="rId4"/>
    <sheet name="Dashboard" sheetId="4" r:id="rId5"/>
  </sheets>
  <definedNames>
    <definedName name="NativeTimeline_OrderDate">#N/A</definedName>
    <definedName name="Slicer_Zone">#N/A</definedName>
  </definedNames>
  <calcPr calcId="191029" iterateDelta="1E-4"/>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9" i="4" l="1"/>
  <c r="B40" i="4"/>
  <c r="B41" i="4"/>
  <c r="J16" i="4"/>
  <c r="J15" i="4"/>
  <c r="J14" i="4"/>
  <c r="F16" i="4"/>
  <c r="E16" i="4"/>
  <c r="D16" i="4"/>
  <c r="C16" i="4"/>
  <c r="B16" i="4"/>
  <c r="F15" i="4"/>
  <c r="E15" i="4"/>
  <c r="D15" i="4"/>
  <c r="C15" i="4"/>
  <c r="B15" i="4"/>
  <c r="F14" i="4"/>
  <c r="E14" i="4"/>
  <c r="D14" i="4"/>
  <c r="C14" i="4"/>
  <c r="B14" i="4"/>
  <c r="F13" i="4"/>
  <c r="E13" i="4"/>
  <c r="D13" i="4"/>
  <c r="C13" i="4"/>
  <c r="B13" i="4"/>
  <c r="I7" i="4"/>
  <c r="E7" i="4"/>
  <c r="A7" i="4"/>
  <c r="B10" i="3"/>
  <c r="G8" i="3" a="1"/>
  <c r="G8" i="3"/>
  <c r="F8" i="3" a="1"/>
  <c r="F8" i="3" s="1"/>
  <c r="E8" i="3"/>
  <c r="D8" i="3" a="1"/>
  <c r="D8" i="3"/>
  <c r="C8" i="3" a="1"/>
  <c r="C8" i="3" s="1"/>
  <c r="B8" i="3"/>
  <c r="H8" i="3" s="1"/>
  <c r="H7" i="3"/>
  <c r="G7" i="3" a="1"/>
  <c r="G7" i="3" s="1"/>
  <c r="F7" i="3" a="1"/>
  <c r="F7" i="3" s="1"/>
  <c r="E7" i="3"/>
  <c r="D7" i="3" a="1"/>
  <c r="D7" i="3"/>
  <c r="C7" i="3" a="1"/>
  <c r="C7" i="3" s="1"/>
  <c r="B7" i="3"/>
  <c r="G6" i="3" a="1"/>
  <c r="G6" i="3"/>
  <c r="F6" i="3" a="1"/>
  <c r="F6" i="3" s="1"/>
  <c r="E6" i="3"/>
  <c r="D6" i="3" a="1"/>
  <c r="D6" i="3"/>
  <c r="C6" i="3" a="1"/>
  <c r="C6" i="3" s="1"/>
  <c r="B6" i="3"/>
  <c r="H6" i="3" s="1"/>
  <c r="G5" i="3" a="1"/>
  <c r="G5" i="3"/>
  <c r="F5" i="3" a="1"/>
  <c r="F5" i="3" s="1"/>
  <c r="E5" i="3"/>
  <c r="D5" i="3" a="1"/>
  <c r="D5" i="3"/>
  <c r="C5" i="3" a="1"/>
  <c r="C5" i="3" s="1"/>
  <c r="B5" i="3"/>
  <c r="H5" i="3" s="1"/>
  <c r="H4" i="3"/>
  <c r="G4" i="3" a="1"/>
  <c r="G4" i="3" s="1"/>
  <c r="F4" i="3" a="1"/>
  <c r="F4" i="3" s="1"/>
  <c r="E4" i="3"/>
  <c r="D4" i="3" a="1"/>
  <c r="D4" i="3"/>
  <c r="C4" i="3" a="1"/>
  <c r="C4" i="3" s="1"/>
  <c r="B4" i="3"/>
  <c r="K133" i="2"/>
  <c r="J133" i="2"/>
  <c r="K132" i="2"/>
  <c r="J132" i="2"/>
  <c r="K131" i="2"/>
  <c r="J131" i="2"/>
  <c r="K130" i="2"/>
  <c r="J130" i="2"/>
  <c r="K129" i="2"/>
  <c r="J129" i="2"/>
  <c r="K128" i="2"/>
  <c r="J128" i="2"/>
  <c r="K127" i="2"/>
  <c r="J127" i="2"/>
  <c r="K126" i="2"/>
  <c r="J126" i="2"/>
  <c r="K125" i="2"/>
  <c r="J125" i="2"/>
  <c r="K124" i="2"/>
  <c r="J124" i="2"/>
  <c r="K123" i="2"/>
  <c r="J123" i="2"/>
  <c r="K122" i="2"/>
  <c r="J122" i="2"/>
  <c r="K121" i="2"/>
  <c r="J121" i="2"/>
  <c r="K120" i="2"/>
  <c r="J120" i="2"/>
  <c r="K119" i="2"/>
  <c r="J119" i="2"/>
  <c r="K118" i="2"/>
  <c r="J118" i="2"/>
  <c r="K117" i="2"/>
  <c r="J117" i="2"/>
  <c r="K116" i="2"/>
  <c r="J116" i="2"/>
  <c r="K115" i="2"/>
  <c r="J115" i="2"/>
  <c r="K114" i="2"/>
  <c r="J114" i="2"/>
  <c r="K113" i="2"/>
  <c r="J113" i="2"/>
  <c r="K112" i="2"/>
  <c r="J112" i="2"/>
  <c r="K111" i="2"/>
  <c r="J111" i="2"/>
  <c r="K110" i="2"/>
  <c r="J110" i="2"/>
  <c r="K109" i="2"/>
  <c r="J109" i="2"/>
  <c r="K108" i="2"/>
  <c r="J108" i="2"/>
  <c r="K107" i="2"/>
  <c r="J107" i="2"/>
  <c r="K106" i="2"/>
  <c r="J106" i="2"/>
  <c r="K105" i="2"/>
  <c r="J105" i="2"/>
  <c r="K104" i="2"/>
  <c r="J104" i="2"/>
  <c r="K103" i="2"/>
  <c r="J103" i="2"/>
  <c r="K102" i="2"/>
  <c r="J102" i="2"/>
  <c r="K101" i="2"/>
  <c r="J101" i="2"/>
  <c r="K100" i="2"/>
  <c r="J100" i="2"/>
  <c r="K99" i="2"/>
  <c r="J99" i="2"/>
  <c r="K98" i="2"/>
  <c r="J98" i="2"/>
  <c r="K97" i="2"/>
  <c r="J97" i="2"/>
  <c r="K96" i="2"/>
  <c r="J96" i="2"/>
  <c r="K95" i="2"/>
  <c r="J95" i="2"/>
  <c r="K94" i="2"/>
  <c r="J94" i="2"/>
  <c r="K93" i="2"/>
  <c r="J93" i="2"/>
  <c r="K92" i="2"/>
  <c r="J92" i="2"/>
  <c r="K91" i="2"/>
  <c r="J91" i="2"/>
  <c r="K90" i="2"/>
  <c r="J90" i="2"/>
  <c r="K89" i="2"/>
  <c r="J89" i="2"/>
  <c r="K88" i="2"/>
  <c r="J88" i="2"/>
  <c r="K87" i="2"/>
  <c r="J87" i="2"/>
  <c r="K86" i="2"/>
  <c r="J86" i="2"/>
  <c r="K85" i="2"/>
  <c r="J85" i="2"/>
  <c r="K84" i="2"/>
  <c r="J84" i="2"/>
  <c r="K83" i="2"/>
  <c r="J83" i="2"/>
  <c r="K82" i="2"/>
  <c r="J82" i="2"/>
  <c r="K81" i="2"/>
  <c r="J81" i="2"/>
  <c r="K80" i="2"/>
  <c r="J80" i="2"/>
  <c r="K79" i="2"/>
  <c r="J79" i="2"/>
  <c r="K78" i="2"/>
  <c r="J78" i="2"/>
  <c r="K77" i="2"/>
  <c r="J77" i="2"/>
  <c r="K76" i="2"/>
  <c r="J76" i="2"/>
  <c r="K75" i="2"/>
  <c r="J75" i="2"/>
  <c r="K74" i="2"/>
  <c r="J74" i="2"/>
  <c r="K73" i="2"/>
  <c r="J73" i="2"/>
  <c r="K72" i="2"/>
  <c r="J72" i="2"/>
  <c r="K71" i="2"/>
  <c r="J71" i="2"/>
  <c r="K70" i="2"/>
  <c r="J70" i="2"/>
  <c r="K69" i="2"/>
  <c r="J69" i="2"/>
  <c r="K68" i="2"/>
  <c r="J68" i="2"/>
  <c r="K67" i="2"/>
  <c r="J67" i="2"/>
  <c r="K66" i="2"/>
  <c r="J66" i="2"/>
  <c r="K65" i="2"/>
  <c r="J65" i="2"/>
  <c r="K64" i="2"/>
  <c r="J64" i="2"/>
  <c r="K63" i="2"/>
  <c r="J63" i="2"/>
  <c r="K62" i="2"/>
  <c r="J62" i="2"/>
  <c r="K61" i="2"/>
  <c r="J61" i="2"/>
  <c r="K60" i="2"/>
  <c r="J60" i="2"/>
  <c r="K59" i="2"/>
  <c r="J59" i="2"/>
  <c r="K58" i="2"/>
  <c r="J58" i="2"/>
  <c r="K57" i="2"/>
  <c r="J57" i="2"/>
  <c r="K56" i="2"/>
  <c r="J56" i="2"/>
  <c r="K55" i="2"/>
  <c r="J55" i="2"/>
  <c r="K54" i="2"/>
  <c r="J54" i="2"/>
  <c r="K53" i="2"/>
  <c r="J53" i="2"/>
  <c r="K52" i="2"/>
  <c r="J52" i="2"/>
  <c r="K51" i="2"/>
  <c r="J51" i="2"/>
  <c r="K50" i="2"/>
  <c r="J50" i="2"/>
  <c r="K49" i="2"/>
  <c r="J49" i="2"/>
  <c r="K48" i="2"/>
  <c r="J48" i="2"/>
  <c r="K47" i="2"/>
  <c r="J47" i="2"/>
  <c r="K46" i="2"/>
  <c r="J46" i="2"/>
  <c r="K45" i="2"/>
  <c r="J45" i="2"/>
  <c r="K44" i="2"/>
  <c r="J44" i="2"/>
  <c r="K43" i="2"/>
  <c r="J43" i="2"/>
  <c r="K42" i="2"/>
  <c r="J42" i="2"/>
  <c r="K41" i="2"/>
  <c r="J41"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K19" i="2"/>
  <c r="J19" i="2"/>
  <c r="K18" i="2"/>
  <c r="J18" i="2"/>
  <c r="K17" i="2"/>
  <c r="J17" i="2"/>
  <c r="K16" i="2"/>
  <c r="J16" i="2"/>
  <c r="K15" i="2"/>
  <c r="J15" i="2"/>
  <c r="K14" i="2"/>
  <c r="J14" i="2"/>
  <c r="K13" i="2"/>
  <c r="J13" i="2"/>
  <c r="K12" i="2"/>
  <c r="J12" i="2"/>
  <c r="K11" i="2"/>
  <c r="J11" i="2"/>
  <c r="K10" i="2"/>
  <c r="J10" i="2"/>
  <c r="K9" i="2"/>
  <c r="J9" i="2"/>
  <c r="K8" i="2"/>
  <c r="J8" i="2"/>
  <c r="K7" i="2"/>
  <c r="J7" i="2"/>
  <c r="K6" i="2"/>
  <c r="J6" i="2"/>
  <c r="K5" i="2"/>
  <c r="J5" i="2"/>
  <c r="K4" i="2"/>
  <c r="J4" i="2"/>
  <c r="F17" i="4" l="1"/>
  <c r="G15" i="4"/>
  <c r="E17" i="4"/>
  <c r="G16" i="4"/>
  <c r="B17" i="4"/>
  <c r="C17" i="4"/>
  <c r="D17" i="4"/>
  <c r="G14" i="4"/>
  <c r="G13" i="4"/>
  <c r="G17" i="4" s="1"/>
</calcChain>
</file>

<file path=xl/sharedStrings.xml><?xml version="1.0" encoding="utf-8"?>
<sst xmlns="http://schemas.openxmlformats.org/spreadsheetml/2006/main" count="794" uniqueCount="221">
  <si>
    <t>Restaurants Reference Sheet</t>
  </si>
  <si>
    <t>RestaurantID</t>
  </si>
  <si>
    <t>RestaurantName</t>
  </si>
  <si>
    <t>Zone</t>
  </si>
  <si>
    <t>Category</t>
  </si>
  <si>
    <t>AvgRating</t>
  </si>
  <si>
    <t>R001</t>
  </si>
  <si>
    <t>Spice Route</t>
  </si>
  <si>
    <t>North</t>
  </si>
  <si>
    <t>Cloud Kitchen</t>
  </si>
  <si>
    <t>R002</t>
  </si>
  <si>
    <t>Urban Tadka</t>
  </si>
  <si>
    <t>South</t>
  </si>
  <si>
    <t>Dine-in</t>
  </si>
  <si>
    <t>R003</t>
  </si>
  <si>
    <t>Noodle Bar</t>
  </si>
  <si>
    <t>East</t>
  </si>
  <si>
    <t>QSR</t>
  </si>
  <si>
    <t>R004</t>
  </si>
  <si>
    <t>Taco Fiesta</t>
  </si>
  <si>
    <t>West</t>
  </si>
  <si>
    <t>R005</t>
  </si>
  <si>
    <t>Pizza Corner</t>
  </si>
  <si>
    <t>Central</t>
  </si>
  <si>
    <t>R006</t>
  </si>
  <si>
    <t>Curry House</t>
  </si>
  <si>
    <t>R007</t>
  </si>
  <si>
    <t>Wok This Way</t>
  </si>
  <si>
    <t>R008</t>
  </si>
  <si>
    <t>El Sombrero</t>
  </si>
  <si>
    <t>R009</t>
  </si>
  <si>
    <t>Roma's Kitchen</t>
  </si>
  <si>
    <t>R010</t>
  </si>
  <si>
    <t>Dragon Wok</t>
  </si>
  <si>
    <t>R011</t>
  </si>
  <si>
    <t>Bombay Bites</t>
  </si>
  <si>
    <t>R012</t>
  </si>
  <si>
    <t>La Pasta</t>
  </si>
  <si>
    <t>R013</t>
  </si>
  <si>
    <t>Sizzling Spice</t>
  </si>
  <si>
    <t>R014</t>
  </si>
  <si>
    <t>Green Chilli</t>
  </si>
  <si>
    <t>R015</t>
  </si>
  <si>
    <t>Salsa Nights</t>
  </si>
  <si>
    <t>OrderID</t>
  </si>
  <si>
    <t>Cuisine</t>
  </si>
  <si>
    <t>OrderDate</t>
  </si>
  <si>
    <t>DeliveryTime</t>
  </si>
  <si>
    <t>Rating</t>
  </si>
  <si>
    <t>Revenue</t>
  </si>
  <si>
    <t>Status</t>
  </si>
  <si>
    <t>CO0001</t>
  </si>
  <si>
    <t>Mexican</t>
  </si>
  <si>
    <t>Delivered</t>
  </si>
  <si>
    <t>CO0002</t>
  </si>
  <si>
    <t>CO0003</t>
  </si>
  <si>
    <t>Indian</t>
  </si>
  <si>
    <t>CO0004</t>
  </si>
  <si>
    <t>Delayed</t>
  </si>
  <si>
    <t>CO0005</t>
  </si>
  <si>
    <t>Italian</t>
  </si>
  <si>
    <t>CO0006</t>
  </si>
  <si>
    <t>CO0007</t>
  </si>
  <si>
    <t>CO0008</t>
  </si>
  <si>
    <t>CO0009</t>
  </si>
  <si>
    <t>CO0010</t>
  </si>
  <si>
    <t>Cancelled</t>
  </si>
  <si>
    <t>CO0011</t>
  </si>
  <si>
    <t>CO0012</t>
  </si>
  <si>
    <t>CO0013</t>
  </si>
  <si>
    <t>CO0014</t>
  </si>
  <si>
    <t>CO0015</t>
  </si>
  <si>
    <t>CO0016</t>
  </si>
  <si>
    <t>CO0017</t>
  </si>
  <si>
    <t>CO0018</t>
  </si>
  <si>
    <t>Chinese</t>
  </si>
  <si>
    <t>CO0019</t>
  </si>
  <si>
    <t>CO0020</t>
  </si>
  <si>
    <t>CO0021</t>
  </si>
  <si>
    <t>CO0022</t>
  </si>
  <si>
    <t>CO0023</t>
  </si>
  <si>
    <t>CO0024</t>
  </si>
  <si>
    <t>CO0025</t>
  </si>
  <si>
    <t>CO0026</t>
  </si>
  <si>
    <t>CO0027</t>
  </si>
  <si>
    <t>CO0028</t>
  </si>
  <si>
    <t>CO0029</t>
  </si>
  <si>
    <t>CO0030</t>
  </si>
  <si>
    <t>CO0031</t>
  </si>
  <si>
    <t>CO0032</t>
  </si>
  <si>
    <t>CO0033</t>
  </si>
  <si>
    <t>CO0034</t>
  </si>
  <si>
    <t>CO0035</t>
  </si>
  <si>
    <t>CO0036</t>
  </si>
  <si>
    <t>CO0037</t>
  </si>
  <si>
    <t>CO0038</t>
  </si>
  <si>
    <t>CO0039</t>
  </si>
  <si>
    <t>CO0040</t>
  </si>
  <si>
    <t>CO0041</t>
  </si>
  <si>
    <t>CO0042</t>
  </si>
  <si>
    <t>CO0043</t>
  </si>
  <si>
    <t>CO0044</t>
  </si>
  <si>
    <t>CO0045</t>
  </si>
  <si>
    <t>CO0046</t>
  </si>
  <si>
    <t>CO0047</t>
  </si>
  <si>
    <t>CO0048</t>
  </si>
  <si>
    <t>CO0049</t>
  </si>
  <si>
    <t>CO0050</t>
  </si>
  <si>
    <t>CO0051</t>
  </si>
  <si>
    <t>CO0052</t>
  </si>
  <si>
    <t>CO0053</t>
  </si>
  <si>
    <t>CO0054</t>
  </si>
  <si>
    <t>CO0055</t>
  </si>
  <si>
    <t>CO0056</t>
  </si>
  <si>
    <t>CO0057</t>
  </si>
  <si>
    <t>CO0058</t>
  </si>
  <si>
    <t>CO0059</t>
  </si>
  <si>
    <t>CO0060</t>
  </si>
  <si>
    <t>CO0061</t>
  </si>
  <si>
    <t>CO0062</t>
  </si>
  <si>
    <t>CO0063</t>
  </si>
  <si>
    <t>CO0064</t>
  </si>
  <si>
    <t>CO0065</t>
  </si>
  <si>
    <t>CO0066</t>
  </si>
  <si>
    <t>CO0067</t>
  </si>
  <si>
    <t>CO0068</t>
  </si>
  <si>
    <t>CO0069</t>
  </si>
  <si>
    <t>CO0070</t>
  </si>
  <si>
    <t>CO0071</t>
  </si>
  <si>
    <t>CO0072</t>
  </si>
  <si>
    <t>CO0073</t>
  </si>
  <si>
    <t>CO0074</t>
  </si>
  <si>
    <t>CO0075</t>
  </si>
  <si>
    <t>CO0076</t>
  </si>
  <si>
    <t>CO0077</t>
  </si>
  <si>
    <t>CO0078</t>
  </si>
  <si>
    <t>CO0079</t>
  </si>
  <si>
    <t>CO0080</t>
  </si>
  <si>
    <t>CO0081</t>
  </si>
  <si>
    <t>CO0082</t>
  </si>
  <si>
    <t>CO0083</t>
  </si>
  <si>
    <t>CO0084</t>
  </si>
  <si>
    <t>CO0085</t>
  </si>
  <si>
    <t>CO0086</t>
  </si>
  <si>
    <t>CO0087</t>
  </si>
  <si>
    <t>CO0088</t>
  </si>
  <si>
    <t>CO0089</t>
  </si>
  <si>
    <t>CO0090</t>
  </si>
  <si>
    <t>CO0091</t>
  </si>
  <si>
    <t>CO0092</t>
  </si>
  <si>
    <t>CO0093</t>
  </si>
  <si>
    <t>CO0094</t>
  </si>
  <si>
    <t>CO0095</t>
  </si>
  <si>
    <t>CO0096</t>
  </si>
  <si>
    <t>CO0097</t>
  </si>
  <si>
    <t>CO0098</t>
  </si>
  <si>
    <t>CO0099</t>
  </si>
  <si>
    <t>CO0100</t>
  </si>
  <si>
    <t>CO0101</t>
  </si>
  <si>
    <t>CO0102</t>
  </si>
  <si>
    <t>CO0103</t>
  </si>
  <si>
    <t>CO0104</t>
  </si>
  <si>
    <t>CO0105</t>
  </si>
  <si>
    <t>CO0106</t>
  </si>
  <si>
    <t>CO0107</t>
  </si>
  <si>
    <t>CO0108</t>
  </si>
  <si>
    <t>CO0109</t>
  </si>
  <si>
    <t>CO0110</t>
  </si>
  <si>
    <t>CO0111</t>
  </si>
  <si>
    <t>CO0112</t>
  </si>
  <si>
    <t>CO0113</t>
  </si>
  <si>
    <t>CO0114</t>
  </si>
  <si>
    <t>CO0115</t>
  </si>
  <si>
    <t>CO0116</t>
  </si>
  <si>
    <t>CO0117</t>
  </si>
  <si>
    <t>CO0118</t>
  </si>
  <si>
    <t>CO0119</t>
  </si>
  <si>
    <t>CO0120</t>
  </si>
  <si>
    <t>CO0121</t>
  </si>
  <si>
    <t>CO0122</t>
  </si>
  <si>
    <t>CO0123</t>
  </si>
  <si>
    <t>CO0124</t>
  </si>
  <si>
    <t>CO0125</t>
  </si>
  <si>
    <t>CO0126</t>
  </si>
  <si>
    <t>CO0127</t>
  </si>
  <si>
    <t>CO0128</t>
  </si>
  <si>
    <t>CO0129</t>
  </si>
  <si>
    <t>CO0130</t>
  </si>
  <si>
    <t>Lookup note: RestaurantName/Category use INDEX-MATCH wrapped in IFERROR (functionally identical to XLOOKUP's if_not_found behaviour and verifiable in every Excel version) — the equivalent live XLOOKUP formula is: =XLOOKUP(B4,tblRestaurants[RestaurantID],tblRestaurants[RestaurantName],"Unknown"). Both return "Unknown" instead of #N/A for any RestaurantID missing from the Restaurants sheet.</t>
  </si>
  <si>
    <t>Zone Stats — DeliveryTime &amp; Revenue by Zone</t>
  </si>
  <si>
    <t>Mean DeliveryTime</t>
  </si>
  <si>
    <t>Median DeliveryTime</t>
  </si>
  <si>
    <t>StDev DeliveryTime</t>
  </si>
  <si>
    <t>Mean Revenue</t>
  </si>
  <si>
    <t>Median Revenue</t>
  </si>
  <si>
    <t>StDev Revenue</t>
  </si>
  <si>
    <t>Above Overall Median DeliveryTime?</t>
  </si>
  <si>
    <t>Overall Median DeliveryTime (all zones)</t>
  </si>
  <si>
    <t>Food Delivery Operations Dashboard</t>
  </si>
  <si>
    <t>Zone Filter:</t>
  </si>
  <si>
    <t>All</t>
  </si>
  <si>
    <t>Status Filter:</t>
  </si>
  <si>
    <t>Total Revenue</t>
  </si>
  <si>
    <t>Average Customer Rating</t>
  </si>
  <si>
    <t>On-Time Delivery %</t>
  </si>
  <si>
    <t>Revenue by Cuisine x Zone</t>
  </si>
  <si>
    <t>Grand Total</t>
  </si>
  <si>
    <t>Order Count by Month</t>
  </si>
  <si>
    <t>Month</t>
  </si>
  <si>
    <t>Order Count</t>
  </si>
  <si>
    <t>2026-01</t>
  </si>
  <si>
    <t>2026-02</t>
  </si>
  <si>
    <t>2026-03</t>
  </si>
  <si>
    <t xml:space="preserve">tblOrders </t>
  </si>
  <si>
    <t>Row Labels</t>
  </si>
  <si>
    <t>Column Labels</t>
  </si>
  <si>
    <t>Sum of Revenue</t>
  </si>
  <si>
    <t>Jan</t>
  </si>
  <si>
    <t>Feb</t>
  </si>
  <si>
    <t>Mar</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</si>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</sst>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quot;Rs &quot;#,##0"/>
    <numFmt numFmtId="167" formatCode="0.0%"/>
  </numFmts>
  <fonts count="12" x14ac:knownFonts="1">
    <font>
      <sz val="11"/>
      <color theme="1"/>
      <name val="Calibri"/>
      <family val="2"/>
      <charset val="1"/>
    </font>
    <font>
      <b/>
      <sz val="15"/>
      <color rgb="FF0B5345"/>
      <name val="Arial"/>
      <family val="2"/>
    </font>
    <font>
      <b/>
      <sz val="11"/>
      <color rgb="FFFFFFFF"/>
      <name val="Arial"/>
      <family val="2"/>
    </font>
    <font>
      <sz val="11"/>
      <name val="Arial"/>
      <family val="2"/>
    </font>
    <font>
      <i/>
      <sz val="10"/>
      <color rgb="FF808080"/>
      <name val="Arial"/>
      <family val="2"/>
    </font>
    <font>
      <b/>
      <sz val="11"/>
      <name val="Arial"/>
      <family val="2"/>
    </font>
    <font>
      <b/>
      <sz val="18"/>
      <color rgb="FF0B5345"/>
      <name val="Arial"/>
      <family val="2"/>
    </font>
    <font>
      <b/>
      <sz val="10"/>
      <color rgb="FF1E8449"/>
      <name val="Arial"/>
      <family val="2"/>
    </font>
    <font>
      <b/>
      <sz val="20"/>
      <color rgb="FF0B5345"/>
      <name val="Arial"/>
      <family val="2"/>
    </font>
    <font>
      <sz val="11"/>
      <color theme="4"/>
      <name val="Calibri"/>
      <family val="2"/>
      <charset val="1"/>
    </font>
    <font>
      <b/>
      <u/>
      <sz val="20"/>
      <color theme="3"/>
      <name val="Calibri"/>
      <family val="2"/>
    </font>
    <font>
      <sz val="11"/>
      <color theme="3"/>
      <name val="Calibri"/>
      <family val="2"/>
    </font>
  </fonts>
  <fills count="6">
    <fill>
      <patternFill patternType="none"/>
    </fill>
    <fill>
      <patternFill patternType="gray125"/>
    </fill>
    <fill>
      <patternFill patternType="solid">
        <fgColor rgb="FF0B5345"/>
        <bgColor rgb="FF006100"/>
      </patternFill>
    </fill>
    <fill>
      <patternFill patternType="solid">
        <fgColor rgb="FFFFF2CC"/>
        <bgColor rgb="FFFDEBD0"/>
      </patternFill>
    </fill>
    <fill>
      <patternFill patternType="solid">
        <fgColor rgb="FFD5F5E3"/>
        <bgColor rgb="FFC6EFCE"/>
      </patternFill>
    </fill>
    <fill>
      <patternFill patternType="solid">
        <fgColor theme="3"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2" borderId="1" xfId="0" applyFont="1" applyFill="1" applyBorder="1" applyAlignment="1">
      <alignment horizontal="center" vertical="center"/>
    </xf>
    <xf numFmtId="0" fontId="3" fillId="0" borderId="1" xfId="0" applyFont="1" applyBorder="1"/>
    <xf numFmtId="164" fontId="3" fillId="0" borderId="1" xfId="0" applyNumberFormat="1" applyFont="1" applyBorder="1"/>
    <xf numFmtId="165" fontId="3" fillId="0" borderId="1" xfId="0" applyNumberFormat="1" applyFont="1" applyBorder="1"/>
    <xf numFmtId="166" fontId="3" fillId="0" borderId="1" xfId="0" applyNumberFormat="1" applyFont="1" applyBorder="1"/>
    <xf numFmtId="0" fontId="5" fillId="0" borderId="0" xfId="0" applyFont="1"/>
    <xf numFmtId="165" fontId="5" fillId="0" borderId="0" xfId="0" applyNumberFormat="1" applyFont="1"/>
    <xf numFmtId="0" fontId="0" fillId="3" borderId="1" xfId="0" applyFill="1" applyBorder="1"/>
    <xf numFmtId="166" fontId="5" fillId="0" borderId="1" xfId="0" applyNumberFormat="1" applyFont="1" applyBorder="1"/>
    <xf numFmtId="0" fontId="5" fillId="0" borderId="1" xfId="0" applyFont="1" applyBorder="1"/>
    <xf numFmtId="0" fontId="0" fillId="0" borderId="0" xfId="0" pivotButton="1"/>
    <xf numFmtId="0" fontId="0" fillId="0" borderId="0" xfId="0" applyAlignment="1">
      <alignment horizontal="left"/>
    </xf>
    <xf numFmtId="0" fontId="9" fillId="0" borderId="0" xfId="0" applyFont="1"/>
    <xf numFmtId="0" fontId="10" fillId="5" borderId="0" xfId="0" applyFont="1" applyFill="1" applyAlignment="1">
      <alignment horizontal="center"/>
    </xf>
    <xf numFmtId="0" fontId="11" fillId="5" borderId="0" xfId="0" applyFont="1" applyFill="1" applyAlignment="1">
      <alignment horizontal="center"/>
    </xf>
    <xf numFmtId="0" fontId="1" fillId="0" borderId="0" xfId="0" applyFont="1"/>
    <xf numFmtId="0" fontId="4" fillId="0" borderId="0" xfId="0" applyFont="1"/>
    <xf numFmtId="166" fontId="8" fillId="4" borderId="1" xfId="0" applyNumberFormat="1" applyFont="1" applyFill="1" applyBorder="1" applyAlignment="1">
      <alignment horizontal="center" vertical="center"/>
    </xf>
    <xf numFmtId="2" fontId="8" fillId="4" borderId="1" xfId="0" applyNumberFormat="1" applyFont="1" applyFill="1" applyBorder="1" applyAlignment="1">
      <alignment horizontal="center" vertical="center"/>
    </xf>
    <xf numFmtId="167" fontId="8" fillId="4" borderId="1" xfId="0" applyNumberFormat="1" applyFont="1" applyFill="1" applyBorder="1" applyAlignment="1">
      <alignment horizontal="center" vertical="center"/>
    </xf>
    <xf numFmtId="0" fontId="6" fillId="0" borderId="0" xfId="0" applyFont="1"/>
    <xf numFmtId="0" fontId="7" fillId="0" borderId="1" xfId="0" applyFont="1" applyBorder="1" applyAlignment="1">
      <alignment horizontal="center"/>
    </xf>
    <xf numFmtId="0" fontId="0" fillId="0" borderId="0" xfId="0" applyNumberFormat="1"/>
  </cellXfs>
  <cellStyles count="1">
    <cellStyle name="Normal" xfId="0" builtinId="0"/>
  </cellStyles>
  <dxfs count="2">
    <dxf>
      <fill>
        <patternFill>
          <bgColor rgb="FFFDEBD0"/>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4F81BD"/>
      <rgbColor rgb="FFBFBFBF"/>
      <rgbColor rgb="FF808080"/>
      <rgbColor rgb="FF9999FF"/>
      <rgbColor rgb="FFC0504D"/>
      <rgbColor rgb="FFFFF2CC"/>
      <rgbColor rgb="FFC6EFC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5F5E3"/>
      <rgbColor rgb="FFFDEBD0"/>
      <rgbColor rgb="FF99CCFF"/>
      <rgbColor rgb="FFFF99CC"/>
      <rgbColor rgb="FFCC99FF"/>
      <rgbColor rgb="FFFFCC99"/>
      <rgbColor rgb="FF4A7EBB"/>
      <rgbColor rgb="FF4BACC6"/>
      <rgbColor rgb="FF9BBB59"/>
      <rgbColor rgb="FFFFCC00"/>
      <rgbColor rgb="FFFF9900"/>
      <rgbColor rgb="FFFF6600"/>
      <rgbColor rgb="FF8064A2"/>
      <rgbColor rgb="FF878787"/>
      <rgbColor rgb="FF0B5345"/>
      <rgbColor rgb="FF1E8449"/>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[Section_C.xlsx]INTERACTIVE_DASHBOARD!PivotTable1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INTERACTIVE_DASHBOARD!$B$3:$B$4</c:f>
              <c:strCache>
                <c:ptCount val="1"/>
                <c:pt idx="0">
                  <c:v>Central</c:v>
                </c:pt>
              </c:strCache>
            </c:strRef>
          </c:tx>
          <c:spPr>
            <a:solidFill>
              <a:schemeClr val="accent1"/>
            </a:solidFill>
            <a:ln>
              <a:noFill/>
            </a:ln>
            <a:effectLst/>
          </c:spPr>
          <c:invertIfNegative val="0"/>
          <c:cat>
            <c:strRef>
              <c:f>INTERACTIVE_DASHBOARD!$A$5:$A$9</c:f>
              <c:strCache>
                <c:ptCount val="4"/>
                <c:pt idx="0">
                  <c:v>Chinese</c:v>
                </c:pt>
                <c:pt idx="1">
                  <c:v>Indian</c:v>
                </c:pt>
                <c:pt idx="2">
                  <c:v>Italian</c:v>
                </c:pt>
                <c:pt idx="3">
                  <c:v>Mexican</c:v>
                </c:pt>
              </c:strCache>
            </c:strRef>
          </c:cat>
          <c:val>
            <c:numRef>
              <c:f>INTERACTIVE_DASHBOARD!$B$5:$B$9</c:f>
              <c:numCache>
                <c:formatCode>General</c:formatCode>
                <c:ptCount val="4"/>
                <c:pt idx="0">
                  <c:v>4468</c:v>
                </c:pt>
                <c:pt idx="1">
                  <c:v>8030</c:v>
                </c:pt>
                <c:pt idx="2">
                  <c:v>8142</c:v>
                </c:pt>
                <c:pt idx="3">
                  <c:v>4567</c:v>
                </c:pt>
              </c:numCache>
            </c:numRef>
          </c:val>
          <c:extLst>
            <c:ext xmlns:c16="http://schemas.microsoft.com/office/drawing/2014/chart" uri="{C3380CC4-5D6E-409C-BE32-E72D297353CC}">
              <c16:uniqueId val="{00000000-9F88-4D74-97E8-A6A781172F4E}"/>
            </c:ext>
          </c:extLst>
        </c:ser>
        <c:dLbls>
          <c:showLegendKey val="0"/>
          <c:showVal val="0"/>
          <c:showCatName val="0"/>
          <c:showSerName val="0"/>
          <c:showPercent val="0"/>
          <c:showBubbleSize val="0"/>
        </c:dLbls>
        <c:gapWidth val="219"/>
        <c:overlap val="-27"/>
        <c:axId val="1962426639"/>
        <c:axId val="1578979375"/>
      </c:barChart>
      <c:catAx>
        <c:axId val="19624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979375"/>
        <c:crosses val="autoZero"/>
        <c:auto val="1"/>
        <c:lblAlgn val="ctr"/>
        <c:lblOffset val="100"/>
        <c:noMultiLvlLbl val="0"/>
      </c:catAx>
      <c:valAx>
        <c:axId val="157897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42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[Section_C.xlsx]INTERACTIVE_DASHBOARD!PivotTable2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INTERACTIVE_DASHBOARD!$F$3</c:f>
              <c:strCache>
                <c:ptCount val="1"/>
                <c:pt idx="0">
                  <c:v>Total</c:v>
                </c:pt>
              </c:strCache>
            </c:strRef>
          </c:tx>
          <c:spPr>
            <a:solidFill>
              <a:schemeClr val="accent1"/>
            </a:solidFill>
            <a:ln>
              <a:noFill/>
            </a:ln>
            <a:effectLst/>
          </c:spPr>
          <c:cat>
            <c:strRef>
              <c:f>INTERACTIVE_DASHBOARD!$E$4:$E$7</c:f>
              <c:strCache>
                <c:ptCount val="3"/>
                <c:pt idx="0">
                  <c:v>Jan</c:v>
                </c:pt>
                <c:pt idx="1">
                  <c:v>Feb</c:v>
                </c:pt>
                <c:pt idx="2">
                  <c:v>Mar</c:v>
                </c:pt>
              </c:strCache>
            </c:strRef>
          </c:cat>
          <c:val>
            <c:numRef>
              <c:f>INTERACTIVE_DASHBOARD!$F$4:$F$7</c:f>
              <c:numCache>
                <c:formatCode>General</c:formatCode>
                <c:ptCount val="3"/>
                <c:pt idx="0">
                  <c:v>10</c:v>
                </c:pt>
                <c:pt idx="1">
                  <c:v>4</c:v>
                </c:pt>
                <c:pt idx="2">
                  <c:v>10</c:v>
                </c:pt>
              </c:numCache>
            </c:numRef>
          </c:val>
          <c:extLst>
            <c:ext xmlns:c16="http://schemas.microsoft.com/office/drawing/2014/chart" uri="{C3380CC4-5D6E-409C-BE32-E72D297353CC}">
              <c16:uniqueId val="{00000000-0D6E-4C9B-B42F-1942688D2872}"/>
            </c:ext>
          </c:extLst>
        </c:ser>
        <c:dLbls>
          <c:showLegendKey val="0"/>
          <c:showVal val="0"/>
          <c:showCatName val="0"/>
          <c:showSerName val="0"/>
          <c:showPercent val="0"/>
          <c:showBubbleSize val="0"/>
        </c:dLbls>
        <c:axId val="1982644927"/>
        <c:axId val="1578947695"/>
      </c:areaChart>
      <c:catAx>
        <c:axId val="1982644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947695"/>
        <c:crosses val="autoZero"/>
        <c:auto val="1"/>
        <c:lblAlgn val="ctr"/>
        <c:lblOffset val="100"/>
        <c:noMultiLvlLbl val="0"/>
      </c:catAx>
      <c:valAx>
        <c:axId val="157894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644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by Cuisine x Zone</a:t>
            </a:r>
          </a:p>
        </c:rich>
      </c:tx>
      <c:overlay val="0"/>
      <c:spPr>
        <a:noFill/>
        <a:ln w="0">
          <a:noFill/>
        </a:ln>
      </c:spPr>
    </c:title>
    <c:autoTitleDeleted val="0"/>
    <c:plotArea>
      <c:layout/>
      <c:barChart>
        <c:barDir val="col"/>
        <c:grouping val="clustered"/>
        <c:varyColors val="0"/>
        <c:ser>
          <c:idx val="0"/>
          <c:order val="0"/>
          <c:tx>
            <c:strRef>
              <c:f>Dashboard!$B$12</c:f>
              <c:strCache>
                <c:ptCount val="1"/>
                <c:pt idx="0">
                  <c:v>North</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Dashboard!$A$13:$A$16</c:f>
              <c:strCache>
                <c:ptCount val="4"/>
                <c:pt idx="0">
                  <c:v>Indian</c:v>
                </c:pt>
                <c:pt idx="1">
                  <c:v>Chinese</c:v>
                </c:pt>
                <c:pt idx="2">
                  <c:v>Italian</c:v>
                </c:pt>
                <c:pt idx="3">
                  <c:v>Mexican</c:v>
                </c:pt>
              </c:strCache>
            </c:strRef>
          </c:cat>
          <c:val>
            <c:numRef>
              <c:f>Dashboard!$B$13:$B$16</c:f>
              <c:numCache>
                <c:formatCode>"Rs "#,##0</c:formatCode>
                <c:ptCount val="4"/>
                <c:pt idx="0">
                  <c:v>2251</c:v>
                </c:pt>
                <c:pt idx="1">
                  <c:v>2818</c:v>
                </c:pt>
                <c:pt idx="2">
                  <c:v>9081</c:v>
                </c:pt>
                <c:pt idx="3">
                  <c:v>9389</c:v>
                </c:pt>
              </c:numCache>
            </c:numRef>
          </c:val>
          <c:extLst>
            <c:ext xmlns:c16="http://schemas.microsoft.com/office/drawing/2014/chart" uri="{C3380CC4-5D6E-409C-BE32-E72D297353CC}">
              <c16:uniqueId val="{00000000-1526-4664-854A-E35270A01C02}"/>
            </c:ext>
          </c:extLst>
        </c:ser>
        <c:ser>
          <c:idx val="1"/>
          <c:order val="1"/>
          <c:tx>
            <c:strRef>
              <c:f>Dashboard!$C$12</c:f>
              <c:strCache>
                <c:ptCount val="1"/>
                <c:pt idx="0">
                  <c:v>South</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Dashboard!$A$13:$A$16</c:f>
              <c:strCache>
                <c:ptCount val="4"/>
                <c:pt idx="0">
                  <c:v>Indian</c:v>
                </c:pt>
                <c:pt idx="1">
                  <c:v>Chinese</c:v>
                </c:pt>
                <c:pt idx="2">
                  <c:v>Italian</c:v>
                </c:pt>
                <c:pt idx="3">
                  <c:v>Mexican</c:v>
                </c:pt>
              </c:strCache>
            </c:strRef>
          </c:cat>
          <c:val>
            <c:numRef>
              <c:f>Dashboard!$C$13:$C$16</c:f>
              <c:numCache>
                <c:formatCode>"Rs "#,##0</c:formatCode>
                <c:ptCount val="4"/>
                <c:pt idx="0">
                  <c:v>6521</c:v>
                </c:pt>
                <c:pt idx="1">
                  <c:v>5065</c:v>
                </c:pt>
                <c:pt idx="2">
                  <c:v>10109</c:v>
                </c:pt>
                <c:pt idx="3">
                  <c:v>5582</c:v>
                </c:pt>
              </c:numCache>
            </c:numRef>
          </c:val>
          <c:extLst>
            <c:ext xmlns:c16="http://schemas.microsoft.com/office/drawing/2014/chart" uri="{C3380CC4-5D6E-409C-BE32-E72D297353CC}">
              <c16:uniqueId val="{00000001-1526-4664-854A-E35270A01C02}"/>
            </c:ext>
          </c:extLst>
        </c:ser>
        <c:ser>
          <c:idx val="2"/>
          <c:order val="2"/>
          <c:tx>
            <c:strRef>
              <c:f>Dashboard!$D$12</c:f>
              <c:strCache>
                <c:ptCount val="1"/>
                <c:pt idx="0">
                  <c:v>East</c:v>
                </c:pt>
              </c:strCache>
            </c:strRef>
          </c:tx>
          <c:spPr>
            <a:solidFill>
              <a:srgbClr val="9BBB59"/>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Dashboard!$A$13:$A$16</c:f>
              <c:strCache>
                <c:ptCount val="4"/>
                <c:pt idx="0">
                  <c:v>Indian</c:v>
                </c:pt>
                <c:pt idx="1">
                  <c:v>Chinese</c:v>
                </c:pt>
                <c:pt idx="2">
                  <c:v>Italian</c:v>
                </c:pt>
                <c:pt idx="3">
                  <c:v>Mexican</c:v>
                </c:pt>
              </c:strCache>
            </c:strRef>
          </c:cat>
          <c:val>
            <c:numRef>
              <c:f>Dashboard!$D$13:$D$16</c:f>
              <c:numCache>
                <c:formatCode>"Rs "#,##0</c:formatCode>
                <c:ptCount val="4"/>
                <c:pt idx="0">
                  <c:v>4207</c:v>
                </c:pt>
                <c:pt idx="1">
                  <c:v>9829</c:v>
                </c:pt>
                <c:pt idx="2">
                  <c:v>5418</c:v>
                </c:pt>
                <c:pt idx="3">
                  <c:v>10349</c:v>
                </c:pt>
              </c:numCache>
            </c:numRef>
          </c:val>
          <c:extLst>
            <c:ext xmlns:c16="http://schemas.microsoft.com/office/drawing/2014/chart" uri="{C3380CC4-5D6E-409C-BE32-E72D297353CC}">
              <c16:uniqueId val="{00000002-1526-4664-854A-E35270A01C02}"/>
            </c:ext>
          </c:extLst>
        </c:ser>
        <c:ser>
          <c:idx val="3"/>
          <c:order val="3"/>
          <c:tx>
            <c:strRef>
              <c:f>Dashboard!$E$12</c:f>
              <c:strCache>
                <c:ptCount val="1"/>
                <c:pt idx="0">
                  <c:v>West</c:v>
                </c:pt>
              </c:strCache>
            </c:strRef>
          </c:tx>
          <c:spPr>
            <a:solidFill>
              <a:srgbClr val="8064A2"/>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Dashboard!$A$13:$A$16</c:f>
              <c:strCache>
                <c:ptCount val="4"/>
                <c:pt idx="0">
                  <c:v>Indian</c:v>
                </c:pt>
                <c:pt idx="1">
                  <c:v>Chinese</c:v>
                </c:pt>
                <c:pt idx="2">
                  <c:v>Italian</c:v>
                </c:pt>
                <c:pt idx="3">
                  <c:v>Mexican</c:v>
                </c:pt>
              </c:strCache>
            </c:strRef>
          </c:cat>
          <c:val>
            <c:numRef>
              <c:f>Dashboard!$E$13:$E$16</c:f>
              <c:numCache>
                <c:formatCode>"Rs "#,##0</c:formatCode>
                <c:ptCount val="4"/>
                <c:pt idx="0">
                  <c:v>6094</c:v>
                </c:pt>
                <c:pt idx="1">
                  <c:v>4925</c:v>
                </c:pt>
                <c:pt idx="2">
                  <c:v>7914</c:v>
                </c:pt>
                <c:pt idx="3">
                  <c:v>9261</c:v>
                </c:pt>
              </c:numCache>
            </c:numRef>
          </c:val>
          <c:extLst>
            <c:ext xmlns:c16="http://schemas.microsoft.com/office/drawing/2014/chart" uri="{C3380CC4-5D6E-409C-BE32-E72D297353CC}">
              <c16:uniqueId val="{00000003-1526-4664-854A-E35270A01C02}"/>
            </c:ext>
          </c:extLst>
        </c:ser>
        <c:ser>
          <c:idx val="4"/>
          <c:order val="4"/>
          <c:tx>
            <c:strRef>
              <c:f>Dashboard!$F$12</c:f>
              <c:strCache>
                <c:ptCount val="1"/>
                <c:pt idx="0">
                  <c:v>Central</c:v>
                </c:pt>
              </c:strCache>
            </c:strRef>
          </c:tx>
          <c:spPr>
            <a:solidFill>
              <a:srgbClr val="4BACC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Dashboard!$A$13:$A$16</c:f>
              <c:strCache>
                <c:ptCount val="4"/>
                <c:pt idx="0">
                  <c:v>Indian</c:v>
                </c:pt>
                <c:pt idx="1">
                  <c:v>Chinese</c:v>
                </c:pt>
                <c:pt idx="2">
                  <c:v>Italian</c:v>
                </c:pt>
                <c:pt idx="3">
                  <c:v>Mexican</c:v>
                </c:pt>
              </c:strCache>
            </c:strRef>
          </c:cat>
          <c:val>
            <c:numRef>
              <c:f>Dashboard!$F$13:$F$16</c:f>
              <c:numCache>
                <c:formatCode>"Rs "#,##0</c:formatCode>
                <c:ptCount val="4"/>
                <c:pt idx="0">
                  <c:v>8030</c:v>
                </c:pt>
                <c:pt idx="1">
                  <c:v>4468</c:v>
                </c:pt>
                <c:pt idx="2">
                  <c:v>8142</c:v>
                </c:pt>
                <c:pt idx="3">
                  <c:v>4567</c:v>
                </c:pt>
              </c:numCache>
            </c:numRef>
          </c:val>
          <c:extLst>
            <c:ext xmlns:c16="http://schemas.microsoft.com/office/drawing/2014/chart" uri="{C3380CC4-5D6E-409C-BE32-E72D297353CC}">
              <c16:uniqueId val="{00000004-1526-4664-854A-E35270A01C02}"/>
            </c:ext>
          </c:extLst>
        </c:ser>
        <c:dLbls>
          <c:showLegendKey val="0"/>
          <c:showVal val="0"/>
          <c:showCatName val="0"/>
          <c:showSerName val="0"/>
          <c:showPercent val="0"/>
          <c:showBubbleSize val="0"/>
        </c:dLbls>
        <c:gapWidth val="150"/>
        <c:axId val="59484669"/>
        <c:axId val="71458734"/>
      </c:barChart>
      <c:catAx>
        <c:axId val="594846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458734"/>
        <c:crosses val="autoZero"/>
        <c:auto val="1"/>
        <c:lblAlgn val="ctr"/>
        <c:lblOffset val="100"/>
        <c:noMultiLvlLbl val="0"/>
      </c:catAx>
      <c:valAx>
        <c:axId val="71458734"/>
        <c:scaling>
          <c:orientation val="minMax"/>
        </c:scaling>
        <c:delete val="0"/>
        <c:axPos val="l"/>
        <c:majorGridlines>
          <c:spPr>
            <a:ln w="9360">
              <a:solidFill>
                <a:srgbClr val="878787"/>
              </a:solidFill>
              <a:round/>
            </a:ln>
          </c:spPr>
        </c:majorGridlines>
        <c:numFmt formatCode="&quot;Rs &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4846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Order Count Trend by Month</a:t>
            </a:r>
          </a:p>
        </c:rich>
      </c:tx>
      <c:overlay val="0"/>
      <c:spPr>
        <a:noFill/>
        <a:ln w="0">
          <a:noFill/>
        </a:ln>
      </c:spPr>
    </c:title>
    <c:autoTitleDeleted val="0"/>
    <c:plotArea>
      <c:layout/>
      <c:lineChart>
        <c:grouping val="standard"/>
        <c:varyColors val="0"/>
        <c:ser>
          <c:idx val="0"/>
          <c:order val="0"/>
          <c:tx>
            <c:strRef>
              <c:f>Dashboard!$B$38</c:f>
              <c:strCache>
                <c:ptCount val="1"/>
                <c:pt idx="0">
                  <c:v>Order Count</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Dashboard!$A$39:$A$41</c:f>
              <c:strCache>
                <c:ptCount val="3"/>
                <c:pt idx="0">
                  <c:v>2026-01</c:v>
                </c:pt>
                <c:pt idx="1">
                  <c:v>2026-02</c:v>
                </c:pt>
                <c:pt idx="2">
                  <c:v>2026-03</c:v>
                </c:pt>
              </c:strCache>
            </c:strRef>
          </c:cat>
          <c:val>
            <c:numRef>
              <c:f>Dashboard!$B$39:$B$41</c:f>
              <c:numCache>
                <c:formatCode>General</c:formatCode>
                <c:ptCount val="3"/>
                <c:pt idx="0">
                  <c:v>49</c:v>
                </c:pt>
                <c:pt idx="1">
                  <c:v>36</c:v>
                </c:pt>
                <c:pt idx="2">
                  <c:v>45</c:v>
                </c:pt>
              </c:numCache>
            </c:numRef>
          </c:val>
          <c:smooth val="1"/>
          <c:extLst>
            <c:ext xmlns:c16="http://schemas.microsoft.com/office/drawing/2014/chart" uri="{C3380CC4-5D6E-409C-BE32-E72D297353CC}">
              <c16:uniqueId val="{00000000-0886-409B-B7B1-8E0AE251F3AC}"/>
            </c:ext>
          </c:extLst>
        </c:ser>
        <c:dLbls>
          <c:showLegendKey val="0"/>
          <c:showVal val="0"/>
          <c:showCatName val="0"/>
          <c:showSerName val="0"/>
          <c:showPercent val="0"/>
          <c:showBubbleSize val="0"/>
        </c:dLbls>
        <c:hiLowLines>
          <c:spPr>
            <a:ln w="0">
              <a:noFill/>
            </a:ln>
          </c:spPr>
        </c:hiLowLines>
        <c:smooth val="0"/>
        <c:axId val="90331913"/>
        <c:axId val="41152407"/>
      </c:lineChart>
      <c:catAx>
        <c:axId val="903319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152407"/>
        <c:crosses val="autoZero"/>
        <c:auto val="1"/>
        <c:lblAlgn val="ctr"/>
        <c:lblOffset val="100"/>
        <c:noMultiLvlLbl val="0"/>
      </c:catAx>
      <c:valAx>
        <c:axId val="4115240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33191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12</xdr:col>
      <xdr:colOff>91440</xdr:colOff>
      <xdr:row>0</xdr:row>
      <xdr:rowOff>68581</xdr:rowOff>
    </xdr:from>
    <xdr:to>
      <xdr:col>15</xdr:col>
      <xdr:colOff>91440</xdr:colOff>
      <xdr:row>9</xdr:row>
      <xdr:rowOff>68581</xdr:rowOff>
    </xdr:to>
    <mc:AlternateContent xmlns:mc="http://schemas.openxmlformats.org/markup-compatibility/2006" xmlns:a14="http://schemas.microsoft.com/office/drawing/2010/main">
      <mc:Choice Requires="a14">
        <xdr:graphicFrame macro="">
          <xdr:nvGraphicFramePr>
            <xdr:cNvPr id="2" name="Zone">
              <a:extLst>
                <a:ext uri="{FF2B5EF4-FFF2-40B4-BE49-F238E27FC236}">
                  <a16:creationId xmlns:a16="http://schemas.microsoft.com/office/drawing/2014/main" id="{BC78E8CF-0160-2C0A-6485-B0833E35CB86}"/>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037320" y="6858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133350</xdr:rowOff>
    </xdr:from>
    <xdr:to>
      <xdr:col>7</xdr:col>
      <xdr:colOff>99060</xdr:colOff>
      <xdr:row>24</xdr:row>
      <xdr:rowOff>133350</xdr:rowOff>
    </xdr:to>
    <xdr:graphicFrame macro="">
      <xdr:nvGraphicFramePr>
        <xdr:cNvPr id="3" name="Chart 2">
          <a:extLst>
            <a:ext uri="{FF2B5EF4-FFF2-40B4-BE49-F238E27FC236}">
              <a16:creationId xmlns:a16="http://schemas.microsoft.com/office/drawing/2014/main" id="{40B4D4B4-DEB5-20AB-E75D-776F050DF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281940</xdr:colOff>
      <xdr:row>3</xdr:row>
      <xdr:rowOff>175260</xdr:rowOff>
    </xdr:from>
    <xdr:to>
      <xdr:col>20</xdr:col>
      <xdr:colOff>571500</xdr:colOff>
      <xdr:row>10</xdr:row>
      <xdr:rowOff>0</xdr:rowOff>
    </xdr:to>
    <mc:AlternateContent xmlns:mc="http://schemas.openxmlformats.org/markup-compatibility/2006" xmlns:tsle="http://schemas.microsoft.com/office/drawing/2012/timeslicer">
      <mc:Choice Requires="tsle">
        <xdr:graphicFrame macro="">
          <xdr:nvGraphicFramePr>
            <xdr:cNvPr id="4" name="OrderDate">
              <a:extLst>
                <a:ext uri="{FF2B5EF4-FFF2-40B4-BE49-F238E27FC236}">
                  <a16:creationId xmlns:a16="http://schemas.microsoft.com/office/drawing/2014/main" id="{342C6344-DCF9-4360-9D1E-58AA54BE9C4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1056620" y="723900"/>
              <a:ext cx="3337560"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304800</xdr:colOff>
      <xdr:row>9</xdr:row>
      <xdr:rowOff>129540</xdr:rowOff>
    </xdr:from>
    <xdr:to>
      <xdr:col>15</xdr:col>
      <xdr:colOff>0</xdr:colOff>
      <xdr:row>24</xdr:row>
      <xdr:rowOff>129540</xdr:rowOff>
    </xdr:to>
    <xdr:graphicFrame macro="">
      <xdr:nvGraphicFramePr>
        <xdr:cNvPr id="5" name="Chart 4">
          <a:extLst>
            <a:ext uri="{FF2B5EF4-FFF2-40B4-BE49-F238E27FC236}">
              <a16:creationId xmlns:a16="http://schemas.microsoft.com/office/drawing/2014/main" id="{206E003A-A8F1-470E-A3D2-A9D968F1C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100800</xdr:rowOff>
    </xdr:from>
    <xdr:to>
      <xdr:col>5</xdr:col>
      <xdr:colOff>853440</xdr:colOff>
      <xdr:row>32</xdr:row>
      <xdr:rowOff>123120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777240</xdr:colOff>
      <xdr:row>17</xdr:row>
      <xdr:rowOff>39840</xdr:rowOff>
    </xdr:from>
    <xdr:to>
      <xdr:col>15</xdr:col>
      <xdr:colOff>69480</xdr:colOff>
      <xdr:row>32</xdr:row>
      <xdr:rowOff>62160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a Shah" refreshedDate="46274.530249305557" createdVersion="8" refreshedVersion="8" minRefreshableVersion="3" recordCount="130" xr:uid="{4B9C532E-89CD-460D-9721-5E06A0321159}">
  <cacheSource type="worksheet">
    <worksheetSource name="tblOrders"/>
  </cacheSource>
  <cacheFields count="13">
    <cacheField name="OrderID" numFmtId="0">
      <sharedItems/>
    </cacheField>
    <cacheField name="RestaurantID" numFmtId="0">
      <sharedItems/>
    </cacheField>
    <cacheField name="Cuisine" numFmtId="0">
      <sharedItems count="4">
        <s v="Mexican"/>
        <s v="Indian"/>
        <s v="Italian"/>
        <s v="Chinese"/>
      </sharedItems>
    </cacheField>
    <cacheField name="Zone" numFmtId="0">
      <sharedItems count="5">
        <s v="South"/>
        <s v="East"/>
        <s v="West"/>
        <s v="Central"/>
        <s v="North"/>
      </sharedItems>
    </cacheField>
    <cacheField name="OrderDate" numFmtId="164">
      <sharedItems containsSemiMixedTypes="0" containsNonDate="0" containsDate="1" containsString="0" minDate="2026-01-02T00:00:00" maxDate="2026-04-01T00:00:00" count="70">
        <d v="2026-02-27T00:00:00"/>
        <d v="2026-02-05T00:00:00"/>
        <d v="2026-01-13T00:00:00"/>
        <d v="2026-03-10T00:00:00"/>
        <d v="2026-01-25T00:00:00"/>
        <d v="2026-01-30T00:00:00"/>
        <d v="2026-02-17T00:00:00"/>
        <d v="2026-03-23T00:00:00"/>
        <d v="2026-02-04T00:00:00"/>
        <d v="2026-02-21T00:00:00"/>
        <d v="2026-03-25T00:00:00"/>
        <d v="2026-02-01T00:00:00"/>
        <d v="2026-01-18T00:00:00"/>
        <d v="2026-03-22T00:00:00"/>
        <d v="2026-03-01T00:00:00"/>
        <d v="2026-01-15T00:00:00"/>
        <d v="2026-01-23T00:00:00"/>
        <d v="2026-02-11T00:00:00"/>
        <d v="2026-01-08T00:00:00"/>
        <d v="2026-03-09T00:00:00"/>
        <d v="2026-03-27T00:00:00"/>
        <d v="2026-01-09T00:00:00"/>
        <d v="2026-01-10T00:00:00"/>
        <d v="2026-03-07T00:00:00"/>
        <d v="2026-03-15T00:00:00"/>
        <d v="2026-03-28T00:00:00"/>
        <d v="2026-01-02T00:00:00"/>
        <d v="2026-02-06T00:00:00"/>
        <d v="2026-01-28T00:00:00"/>
        <d v="2026-01-07T00:00:00"/>
        <d v="2026-03-18T00:00:00"/>
        <d v="2026-01-27T00:00:00"/>
        <d v="2026-02-10T00:00:00"/>
        <d v="2026-01-21T00:00:00"/>
        <d v="2026-01-17T00:00:00"/>
        <d v="2026-03-29T00:00:00"/>
        <d v="2026-01-20T00:00:00"/>
        <d v="2026-02-18T00:00:00"/>
        <d v="2026-02-09T00:00:00"/>
        <d v="2026-02-25T00:00:00"/>
        <d v="2026-03-06T00:00:00"/>
        <d v="2026-03-14T00:00:00"/>
        <d v="2026-03-02T00:00:00"/>
        <d v="2026-01-31T00:00:00"/>
        <d v="2026-01-29T00:00:00"/>
        <d v="2026-02-28T00:00:00"/>
        <d v="2026-03-20T00:00:00"/>
        <d v="2026-02-03T00:00:00"/>
        <d v="2026-02-26T00:00:00"/>
        <d v="2026-01-11T00:00:00"/>
        <d v="2026-02-19T00:00:00"/>
        <d v="2026-03-21T00:00:00"/>
        <d v="2026-03-24T00:00:00"/>
        <d v="2026-02-23T00:00:00"/>
        <d v="2026-01-26T00:00:00"/>
        <d v="2026-01-16T00:00:00"/>
        <d v="2026-01-12T00:00:00"/>
        <d v="2026-01-04T00:00:00"/>
        <d v="2026-02-13T00:00:00"/>
        <d v="2026-01-14T00:00:00"/>
        <d v="2026-01-24T00:00:00"/>
        <d v="2026-03-04T00:00:00"/>
        <d v="2026-02-08T00:00:00"/>
        <d v="2026-03-17T00:00:00"/>
        <d v="2026-03-12T00:00:00"/>
        <d v="2026-01-05T00:00:00"/>
        <d v="2026-03-19T00:00:00"/>
        <d v="2026-03-26T00:00:00"/>
        <d v="2026-03-31T00:00:00"/>
        <d v="2026-03-03T00:00:00"/>
      </sharedItems>
      <fieldGroup par="12"/>
    </cacheField>
    <cacheField name="DeliveryTime" numFmtId="0">
      <sharedItems containsSemiMixedTypes="0" containsString="0" containsNumber="1" containsInteger="1" minValue="13" maxValue="75"/>
    </cacheField>
    <cacheField name="Rating" numFmtId="0">
      <sharedItems containsSemiMixedTypes="0" containsString="0" containsNumber="1" containsInteger="1" minValue="1" maxValue="5"/>
    </cacheField>
    <cacheField name="Revenue" numFmtId="0">
      <sharedItems containsSemiMixedTypes="0" containsString="0" containsNumber="1" containsInteger="1" minValue="155" maxValue="1792"/>
    </cacheField>
    <cacheField name="Status" numFmtId="0">
      <sharedItems/>
    </cacheField>
    <cacheField name="RestaurantName" numFmtId="0">
      <sharedItems/>
    </cacheField>
    <cacheField name="Category" numFmtId="0">
      <sharedItems/>
    </cacheField>
    <cacheField name="Days (OrderDate)" numFmtId="0" databaseField="0">
      <fieldGroup base="4">
        <rangePr groupBy="days" startDate="2026-01-02T00:00:00" endDate="2026-04-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6"/>
        </groupItems>
      </fieldGroup>
    </cacheField>
    <cacheField name="Months (OrderDate)" numFmtId="0" databaseField="0">
      <fieldGroup base="4">
        <rangePr groupBy="months" startDate="2026-01-02T00:00:00" endDate="2026-04-01T00:00:00"/>
        <groupItems count="14">
          <s v="&lt;02-01-2026"/>
          <s v="Jan"/>
          <s v="Feb"/>
          <s v="Mar"/>
          <s v="Apr"/>
          <s v="May"/>
          <s v="Jun"/>
          <s v="Jul"/>
          <s v="Aug"/>
          <s v="Sep"/>
          <s v="Oct"/>
          <s v="Nov"/>
          <s v="Dec"/>
          <s v="&gt;01-04-2026"/>
        </groupItems>
      </fieldGroup>
    </cacheField>
  </cacheFields>
  <extLst>
    <ext xmlns:x14="http://schemas.microsoft.com/office/spreadsheetml/2009/9/main" uri="{725AE2AE-9491-48be-B2B4-4EB974FC3084}">
      <x14:pivotCacheDefinition pivotCacheId="1150008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s v="CO0001"/>
    <s v="R009"/>
    <x v="0"/>
    <x v="0"/>
    <x v="0"/>
    <n v="47"/>
    <n v="1"/>
    <n v="1704"/>
    <s v="Delivered"/>
    <s v="Roma's Kitchen"/>
    <s v="QSR"/>
  </r>
  <r>
    <s v="CO0002"/>
    <s v="R012"/>
    <x v="0"/>
    <x v="1"/>
    <x v="1"/>
    <n v="31"/>
    <n v="2"/>
    <n v="1713"/>
    <s v="Delivered"/>
    <s v="La Pasta"/>
    <s v="QSR"/>
  </r>
  <r>
    <s v="CO0003"/>
    <s v="R002"/>
    <x v="1"/>
    <x v="2"/>
    <x v="2"/>
    <n v="57"/>
    <n v="3"/>
    <n v="1386"/>
    <s v="Delivered"/>
    <s v="Urban Tadka"/>
    <s v="Dine-in"/>
  </r>
  <r>
    <s v="CO0004"/>
    <s v="R013"/>
    <x v="1"/>
    <x v="2"/>
    <x v="3"/>
    <n v="27"/>
    <n v="4"/>
    <n v="311"/>
    <s v="Delayed"/>
    <s v="Sizzling Spice"/>
    <s v="Cloud Kitchen"/>
  </r>
  <r>
    <s v="CO0005"/>
    <s v="R005"/>
    <x v="2"/>
    <x v="3"/>
    <x v="4"/>
    <n v="20"/>
    <n v="1"/>
    <n v="1504"/>
    <s v="Delivered"/>
    <s v="Pizza Corner"/>
    <s v="Dine-in"/>
  </r>
  <r>
    <s v="CO0006"/>
    <s v="R013"/>
    <x v="2"/>
    <x v="4"/>
    <x v="5"/>
    <n v="24"/>
    <n v="4"/>
    <n v="719"/>
    <s v="Delayed"/>
    <s v="Sizzling Spice"/>
    <s v="Cloud Kitchen"/>
  </r>
  <r>
    <s v="CO0007"/>
    <s v="R011"/>
    <x v="2"/>
    <x v="0"/>
    <x v="6"/>
    <n v="57"/>
    <n v="2"/>
    <n v="1522"/>
    <s v="Delivered"/>
    <s v="Bombay Bites"/>
    <s v="Dine-in"/>
  </r>
  <r>
    <s v="CO0008"/>
    <s v="R012"/>
    <x v="1"/>
    <x v="3"/>
    <x v="7"/>
    <n v="33"/>
    <n v="5"/>
    <n v="1643"/>
    <s v="Delivered"/>
    <s v="La Pasta"/>
    <s v="QSR"/>
  </r>
  <r>
    <s v="CO0009"/>
    <s v="R003"/>
    <x v="0"/>
    <x v="2"/>
    <x v="8"/>
    <n v="40"/>
    <n v="3"/>
    <n v="1723"/>
    <s v="Delivered"/>
    <s v="Noodle Bar"/>
    <s v="QSR"/>
  </r>
  <r>
    <s v="CO0010"/>
    <s v="R004"/>
    <x v="1"/>
    <x v="1"/>
    <x v="9"/>
    <n v="46"/>
    <n v="1"/>
    <n v="582"/>
    <s v="Cancelled"/>
    <s v="Taco Fiesta"/>
    <s v="Cloud Kitchen"/>
  </r>
  <r>
    <s v="CO0011"/>
    <s v="R015"/>
    <x v="2"/>
    <x v="0"/>
    <x v="10"/>
    <n v="75"/>
    <n v="4"/>
    <n v="1466"/>
    <s v="Delayed"/>
    <s v="Salsa Nights"/>
    <s v="QSR"/>
  </r>
  <r>
    <s v="CO0012"/>
    <s v="R003"/>
    <x v="2"/>
    <x v="0"/>
    <x v="11"/>
    <n v="45"/>
    <n v="5"/>
    <n v="1027"/>
    <s v="Cancelled"/>
    <s v="Noodle Bar"/>
    <s v="QSR"/>
  </r>
  <r>
    <s v="CO0013"/>
    <s v="R007"/>
    <x v="2"/>
    <x v="0"/>
    <x v="12"/>
    <n v="75"/>
    <n v="1"/>
    <n v="1697"/>
    <s v="Delivered"/>
    <s v="Wok This Way"/>
    <s v="Cloud Kitchen"/>
  </r>
  <r>
    <s v="CO0014"/>
    <s v="R014"/>
    <x v="1"/>
    <x v="0"/>
    <x v="13"/>
    <n v="32"/>
    <n v="4"/>
    <n v="1371"/>
    <s v="Delivered"/>
    <s v="Green Chilli"/>
    <s v="Dine-in"/>
  </r>
  <r>
    <s v="CO0015"/>
    <s v="R007"/>
    <x v="0"/>
    <x v="3"/>
    <x v="14"/>
    <n v="44"/>
    <n v="5"/>
    <n v="173"/>
    <s v="Delivered"/>
    <s v="Wok This Way"/>
    <s v="Cloud Kitchen"/>
  </r>
  <r>
    <s v="CO0016"/>
    <s v="R011"/>
    <x v="2"/>
    <x v="1"/>
    <x v="15"/>
    <n v="49"/>
    <n v="4"/>
    <n v="473"/>
    <s v="Delayed"/>
    <s v="Bombay Bites"/>
    <s v="Dine-in"/>
  </r>
  <r>
    <s v="CO0017"/>
    <s v="R001"/>
    <x v="2"/>
    <x v="3"/>
    <x v="16"/>
    <n v="25"/>
    <n v="3"/>
    <n v="1458"/>
    <s v="Delayed"/>
    <s v="Spice Route"/>
    <s v="Cloud Kitchen"/>
  </r>
  <r>
    <s v="CO0018"/>
    <s v="R010"/>
    <x v="3"/>
    <x v="0"/>
    <x v="6"/>
    <n v="32"/>
    <n v="5"/>
    <n v="1744"/>
    <s v="Delayed"/>
    <s v="Dragon Wok"/>
    <s v="Cloud Kitchen"/>
  </r>
  <r>
    <s v="CO0019"/>
    <s v="R015"/>
    <x v="1"/>
    <x v="3"/>
    <x v="17"/>
    <n v="74"/>
    <n v="1"/>
    <n v="379"/>
    <s v="Delivered"/>
    <s v="Salsa Nights"/>
    <s v="QSR"/>
  </r>
  <r>
    <s v="CO0020"/>
    <s v="R015"/>
    <x v="2"/>
    <x v="0"/>
    <x v="18"/>
    <n v="42"/>
    <n v="5"/>
    <n v="311"/>
    <s v="Delivered"/>
    <s v="Salsa Nights"/>
    <s v="QSR"/>
  </r>
  <r>
    <s v="CO0021"/>
    <s v="R012"/>
    <x v="0"/>
    <x v="4"/>
    <x v="3"/>
    <n v="28"/>
    <n v="2"/>
    <n v="1501"/>
    <s v="Delayed"/>
    <s v="La Pasta"/>
    <s v="QSR"/>
  </r>
  <r>
    <s v="CO0022"/>
    <s v="R009"/>
    <x v="3"/>
    <x v="1"/>
    <x v="19"/>
    <n v="66"/>
    <n v="2"/>
    <n v="1254"/>
    <s v="Delivered"/>
    <s v="Roma's Kitchen"/>
    <s v="QSR"/>
  </r>
  <r>
    <s v="CO0023"/>
    <s v="R012"/>
    <x v="2"/>
    <x v="2"/>
    <x v="20"/>
    <n v="59"/>
    <n v="4"/>
    <n v="1209"/>
    <s v="Delayed"/>
    <s v="La Pasta"/>
    <s v="QSR"/>
  </r>
  <r>
    <s v="CO0024"/>
    <s v="R002"/>
    <x v="3"/>
    <x v="0"/>
    <x v="21"/>
    <n v="55"/>
    <n v="1"/>
    <n v="1354"/>
    <s v="Delayed"/>
    <s v="Urban Tadka"/>
    <s v="Dine-in"/>
  </r>
  <r>
    <s v="CO0025"/>
    <s v="R004"/>
    <x v="3"/>
    <x v="4"/>
    <x v="22"/>
    <n v="19"/>
    <n v="2"/>
    <n v="288"/>
    <s v="Delivered"/>
    <s v="Taco Fiesta"/>
    <s v="Cloud Kitchen"/>
  </r>
  <r>
    <s v="CO0026"/>
    <s v="R014"/>
    <x v="2"/>
    <x v="4"/>
    <x v="23"/>
    <n v="42"/>
    <n v="3"/>
    <n v="1520"/>
    <s v="Delayed"/>
    <s v="Green Chilli"/>
    <s v="Dine-in"/>
  </r>
  <r>
    <s v="CO0027"/>
    <s v="R004"/>
    <x v="3"/>
    <x v="3"/>
    <x v="24"/>
    <n v="72"/>
    <n v="2"/>
    <n v="1756"/>
    <s v="Delayed"/>
    <s v="Taco Fiesta"/>
    <s v="Cloud Kitchen"/>
  </r>
  <r>
    <s v="CO0028"/>
    <s v="R013"/>
    <x v="0"/>
    <x v="0"/>
    <x v="2"/>
    <n v="24"/>
    <n v="4"/>
    <n v="875"/>
    <s v="Delivered"/>
    <s v="Sizzling Spice"/>
    <s v="Cloud Kitchen"/>
  </r>
  <r>
    <s v="CO0029"/>
    <s v="R007"/>
    <x v="0"/>
    <x v="4"/>
    <x v="25"/>
    <n v="24"/>
    <n v="1"/>
    <n v="974"/>
    <s v="Delivered"/>
    <s v="Wok This Way"/>
    <s v="Cloud Kitchen"/>
  </r>
  <r>
    <s v="CO0030"/>
    <s v="R013"/>
    <x v="1"/>
    <x v="0"/>
    <x v="4"/>
    <n v="36"/>
    <n v="5"/>
    <n v="1068"/>
    <s v="Delivered"/>
    <s v="Sizzling Spice"/>
    <s v="Cloud Kitchen"/>
  </r>
  <r>
    <s v="CO0031"/>
    <s v="R007"/>
    <x v="3"/>
    <x v="1"/>
    <x v="14"/>
    <n v="43"/>
    <n v="1"/>
    <n v="1057"/>
    <s v="Delayed"/>
    <s v="Wok This Way"/>
    <s v="Cloud Kitchen"/>
  </r>
  <r>
    <s v="CO0032"/>
    <s v="R002"/>
    <x v="1"/>
    <x v="3"/>
    <x v="26"/>
    <n v="23"/>
    <n v="2"/>
    <n v="490"/>
    <s v="Delivered"/>
    <s v="Urban Tadka"/>
    <s v="Dine-in"/>
  </r>
  <r>
    <s v="CO0033"/>
    <s v="R008"/>
    <x v="0"/>
    <x v="0"/>
    <x v="9"/>
    <n v="19"/>
    <n v="2"/>
    <n v="926"/>
    <s v="Delivered"/>
    <s v="El Sombrero"/>
    <s v="Dine-in"/>
  </r>
  <r>
    <s v="CO0034"/>
    <s v="R007"/>
    <x v="2"/>
    <x v="2"/>
    <x v="27"/>
    <n v="66"/>
    <n v="5"/>
    <n v="1505"/>
    <s v="Delayed"/>
    <s v="Wok This Way"/>
    <s v="Cloud Kitchen"/>
  </r>
  <r>
    <s v="CO0035"/>
    <s v="R003"/>
    <x v="3"/>
    <x v="1"/>
    <x v="28"/>
    <n v="19"/>
    <n v="5"/>
    <n v="1656"/>
    <s v="Delayed"/>
    <s v="Noodle Bar"/>
    <s v="QSR"/>
  </r>
  <r>
    <s v="CO0036"/>
    <s v="R001"/>
    <x v="2"/>
    <x v="4"/>
    <x v="29"/>
    <n v="73"/>
    <n v="5"/>
    <n v="1237"/>
    <s v="Delivered"/>
    <s v="Spice Route"/>
    <s v="Cloud Kitchen"/>
  </r>
  <r>
    <s v="CO0037"/>
    <s v="R001"/>
    <x v="1"/>
    <x v="0"/>
    <x v="21"/>
    <n v="20"/>
    <n v="2"/>
    <n v="976"/>
    <s v="Delivered"/>
    <s v="Spice Route"/>
    <s v="Cloud Kitchen"/>
  </r>
  <r>
    <s v="CO0038"/>
    <s v="R015"/>
    <x v="3"/>
    <x v="3"/>
    <x v="30"/>
    <n v="17"/>
    <n v="5"/>
    <n v="317"/>
    <s v="Delivered"/>
    <s v="Salsa Nights"/>
    <s v="QSR"/>
  </r>
  <r>
    <s v="CO0039"/>
    <s v="R011"/>
    <x v="2"/>
    <x v="1"/>
    <x v="31"/>
    <n v="52"/>
    <n v="2"/>
    <n v="693"/>
    <s v="Delivered"/>
    <s v="Bombay Bites"/>
    <s v="Dine-in"/>
  </r>
  <r>
    <s v="CO0040"/>
    <s v="R003"/>
    <x v="2"/>
    <x v="2"/>
    <x v="32"/>
    <n v="21"/>
    <n v="1"/>
    <n v="1088"/>
    <s v="Cancelled"/>
    <s v="Noodle Bar"/>
    <s v="QSR"/>
  </r>
  <r>
    <s v="CO0041"/>
    <s v="R010"/>
    <x v="1"/>
    <x v="4"/>
    <x v="3"/>
    <n v="39"/>
    <n v="5"/>
    <n v="693"/>
    <s v="Delivered"/>
    <s v="Dragon Wok"/>
    <s v="Cloud Kitchen"/>
  </r>
  <r>
    <s v="CO0042"/>
    <s v="R015"/>
    <x v="2"/>
    <x v="4"/>
    <x v="11"/>
    <n v="59"/>
    <n v="3"/>
    <n v="473"/>
    <s v="Delayed"/>
    <s v="Salsa Nights"/>
    <s v="QSR"/>
  </r>
  <r>
    <s v="CO0043"/>
    <s v="R014"/>
    <x v="2"/>
    <x v="3"/>
    <x v="10"/>
    <n v="13"/>
    <n v="5"/>
    <n v="763"/>
    <s v="Delivered"/>
    <s v="Green Chilli"/>
    <s v="Dine-in"/>
  </r>
  <r>
    <s v="CO0044"/>
    <s v="R015"/>
    <x v="3"/>
    <x v="1"/>
    <x v="15"/>
    <n v="25"/>
    <n v="5"/>
    <n v="468"/>
    <s v="Delivered"/>
    <s v="Salsa Nights"/>
    <s v="QSR"/>
  </r>
  <r>
    <s v="CO0045"/>
    <s v="R005"/>
    <x v="3"/>
    <x v="1"/>
    <x v="31"/>
    <n v="45"/>
    <n v="5"/>
    <n v="1150"/>
    <s v="Delivered"/>
    <s v="Pizza Corner"/>
    <s v="Dine-in"/>
  </r>
  <r>
    <s v="CO0046"/>
    <s v="R015"/>
    <x v="1"/>
    <x v="4"/>
    <x v="7"/>
    <n v="66"/>
    <n v="3"/>
    <n v="240"/>
    <s v="Delivered"/>
    <s v="Salsa Nights"/>
    <s v="QSR"/>
  </r>
  <r>
    <s v="CO0047"/>
    <s v="R006"/>
    <x v="3"/>
    <x v="1"/>
    <x v="33"/>
    <n v="68"/>
    <n v="5"/>
    <n v="1595"/>
    <s v="Delivered"/>
    <s v="Curry House"/>
    <s v="QSR"/>
  </r>
  <r>
    <s v="CO0048"/>
    <s v="R009"/>
    <x v="1"/>
    <x v="4"/>
    <x v="22"/>
    <n v="31"/>
    <n v="5"/>
    <n v="223"/>
    <s v="Delivered"/>
    <s v="Roma's Kitchen"/>
    <s v="QSR"/>
  </r>
  <r>
    <s v="CO0049"/>
    <s v="R010"/>
    <x v="3"/>
    <x v="2"/>
    <x v="34"/>
    <n v="17"/>
    <n v="3"/>
    <n v="896"/>
    <s v="Delivered"/>
    <s v="Dragon Wok"/>
    <s v="Cloud Kitchen"/>
  </r>
  <r>
    <s v="CO0050"/>
    <s v="R015"/>
    <x v="2"/>
    <x v="0"/>
    <x v="35"/>
    <n v="43"/>
    <n v="1"/>
    <n v="874"/>
    <s v="Delayed"/>
    <s v="Salsa Nights"/>
    <s v="QSR"/>
  </r>
  <r>
    <s v="CO0051"/>
    <s v="R015"/>
    <x v="0"/>
    <x v="3"/>
    <x v="36"/>
    <n v="42"/>
    <n v="2"/>
    <n v="1788"/>
    <s v="Delivered"/>
    <s v="Salsa Nights"/>
    <s v="QSR"/>
  </r>
  <r>
    <s v="CO0052"/>
    <s v="R015"/>
    <x v="0"/>
    <x v="4"/>
    <x v="16"/>
    <n v="54"/>
    <n v="4"/>
    <n v="1792"/>
    <s v="Delivered"/>
    <s v="Salsa Nights"/>
    <s v="QSR"/>
  </r>
  <r>
    <s v="CO0053"/>
    <s v="R005"/>
    <x v="3"/>
    <x v="4"/>
    <x v="37"/>
    <n v="16"/>
    <n v="4"/>
    <n v="605"/>
    <s v="Delivered"/>
    <s v="Pizza Corner"/>
    <s v="Dine-in"/>
  </r>
  <r>
    <s v="CO0054"/>
    <s v="R014"/>
    <x v="0"/>
    <x v="1"/>
    <x v="38"/>
    <n v="41"/>
    <n v="2"/>
    <n v="198"/>
    <s v="Delivered"/>
    <s v="Green Chilli"/>
    <s v="Dine-in"/>
  </r>
  <r>
    <s v="CO0055"/>
    <s v="R007"/>
    <x v="2"/>
    <x v="1"/>
    <x v="21"/>
    <n v="47"/>
    <n v="3"/>
    <n v="1463"/>
    <s v="Delayed"/>
    <s v="Wok This Way"/>
    <s v="Cloud Kitchen"/>
  </r>
  <r>
    <s v="CO0056"/>
    <s v="R007"/>
    <x v="2"/>
    <x v="4"/>
    <x v="15"/>
    <n v="45"/>
    <n v="2"/>
    <n v="1339"/>
    <s v="Delivered"/>
    <s v="Wok This Way"/>
    <s v="Cloud Kitchen"/>
  </r>
  <r>
    <s v="CO0057"/>
    <s v="R001"/>
    <x v="1"/>
    <x v="3"/>
    <x v="39"/>
    <n v="56"/>
    <n v="3"/>
    <n v="1043"/>
    <s v="Cancelled"/>
    <s v="Spice Route"/>
    <s v="Cloud Kitchen"/>
  </r>
  <r>
    <s v="CO0058"/>
    <s v="R009"/>
    <x v="1"/>
    <x v="2"/>
    <x v="24"/>
    <n v="36"/>
    <n v="3"/>
    <n v="240"/>
    <s v="Delivered"/>
    <s v="Roma's Kitchen"/>
    <s v="QSR"/>
  </r>
  <r>
    <s v="CO0059"/>
    <s v="R001"/>
    <x v="3"/>
    <x v="1"/>
    <x v="39"/>
    <n v="20"/>
    <n v="3"/>
    <n v="1426"/>
    <s v="Delivered"/>
    <s v="Spice Route"/>
    <s v="Cloud Kitchen"/>
  </r>
  <r>
    <s v="CO0060"/>
    <s v="R011"/>
    <x v="1"/>
    <x v="1"/>
    <x v="40"/>
    <n v="51"/>
    <n v="4"/>
    <n v="818"/>
    <s v="Delivered"/>
    <s v="Bombay Bites"/>
    <s v="Dine-in"/>
  </r>
  <r>
    <s v="CO0061"/>
    <s v="R012"/>
    <x v="2"/>
    <x v="3"/>
    <x v="34"/>
    <n v="36"/>
    <n v="4"/>
    <n v="1511"/>
    <s v="Delivered"/>
    <s v="La Pasta"/>
    <s v="QSR"/>
  </r>
  <r>
    <s v="CO0062"/>
    <s v="R011"/>
    <x v="3"/>
    <x v="3"/>
    <x v="41"/>
    <n v="50"/>
    <n v="4"/>
    <n v="1272"/>
    <s v="Delivered"/>
    <s v="Bombay Bites"/>
    <s v="Dine-in"/>
  </r>
  <r>
    <s v="CO0063"/>
    <s v="R005"/>
    <x v="2"/>
    <x v="0"/>
    <x v="39"/>
    <n v="53"/>
    <n v="4"/>
    <n v="1054"/>
    <s v="Delayed"/>
    <s v="Pizza Corner"/>
    <s v="Dine-in"/>
  </r>
  <r>
    <s v="CO0064"/>
    <s v="R011"/>
    <x v="3"/>
    <x v="3"/>
    <x v="42"/>
    <n v="33"/>
    <n v="1"/>
    <n v="731"/>
    <s v="Delayed"/>
    <s v="Bombay Bites"/>
    <s v="Dine-in"/>
  </r>
  <r>
    <s v="CO0065"/>
    <s v="R011"/>
    <x v="2"/>
    <x v="4"/>
    <x v="43"/>
    <n v="51"/>
    <n v="2"/>
    <n v="557"/>
    <s v="Delivered"/>
    <s v="Bombay Bites"/>
    <s v="Dine-in"/>
  </r>
  <r>
    <s v="CO0066"/>
    <s v="R001"/>
    <x v="1"/>
    <x v="0"/>
    <x v="42"/>
    <n v="21"/>
    <n v="4"/>
    <n v="998"/>
    <s v="Cancelled"/>
    <s v="Spice Route"/>
    <s v="Cloud Kitchen"/>
  </r>
  <r>
    <s v="CO0067"/>
    <s v="R004"/>
    <x v="0"/>
    <x v="2"/>
    <x v="9"/>
    <n v="43"/>
    <n v="2"/>
    <n v="1493"/>
    <s v="Delivered"/>
    <s v="Taco Fiesta"/>
    <s v="Cloud Kitchen"/>
  </r>
  <r>
    <s v="CO0068"/>
    <s v="R015"/>
    <x v="1"/>
    <x v="2"/>
    <x v="44"/>
    <n v="34"/>
    <n v="5"/>
    <n v="1101"/>
    <s v="Delivered"/>
    <s v="Salsa Nights"/>
    <s v="QSR"/>
  </r>
  <r>
    <s v="CO0069"/>
    <s v="R009"/>
    <x v="3"/>
    <x v="4"/>
    <x v="45"/>
    <n v="29"/>
    <n v="4"/>
    <n v="1517"/>
    <s v="Delayed"/>
    <s v="Roma's Kitchen"/>
    <s v="QSR"/>
  </r>
  <r>
    <s v="CO0070"/>
    <s v="R009"/>
    <x v="2"/>
    <x v="2"/>
    <x v="46"/>
    <n v="66"/>
    <n v="5"/>
    <n v="1063"/>
    <s v="Delivered"/>
    <s v="Roma's Kitchen"/>
    <s v="QSR"/>
  </r>
  <r>
    <s v="CO0071"/>
    <s v="R012"/>
    <x v="0"/>
    <x v="2"/>
    <x v="47"/>
    <n v="43"/>
    <n v="3"/>
    <n v="1718"/>
    <s v="Delayed"/>
    <s v="La Pasta"/>
    <s v="QSR"/>
  </r>
  <r>
    <s v="CO0072"/>
    <s v="R008"/>
    <x v="3"/>
    <x v="1"/>
    <x v="48"/>
    <n v="21"/>
    <n v="3"/>
    <n v="630"/>
    <s v="Delivered"/>
    <s v="El Sombrero"/>
    <s v="Dine-in"/>
  </r>
  <r>
    <s v="CO0073"/>
    <s v="R006"/>
    <x v="2"/>
    <x v="3"/>
    <x v="49"/>
    <n v="29"/>
    <n v="2"/>
    <n v="623"/>
    <s v="Delivered"/>
    <s v="Curry House"/>
    <s v="QSR"/>
  </r>
  <r>
    <s v="CO0074"/>
    <s v="R012"/>
    <x v="3"/>
    <x v="0"/>
    <x v="21"/>
    <n v="65"/>
    <n v="4"/>
    <n v="827"/>
    <s v="Delayed"/>
    <s v="La Pasta"/>
    <s v="QSR"/>
  </r>
  <r>
    <s v="CO0075"/>
    <s v="R008"/>
    <x v="0"/>
    <x v="4"/>
    <x v="31"/>
    <n v="65"/>
    <n v="4"/>
    <n v="1726"/>
    <s v="Cancelled"/>
    <s v="El Sombrero"/>
    <s v="Dine-in"/>
  </r>
  <r>
    <s v="CO0076"/>
    <s v="R012"/>
    <x v="1"/>
    <x v="3"/>
    <x v="37"/>
    <n v="73"/>
    <n v="1"/>
    <n v="870"/>
    <s v="Delivered"/>
    <s v="La Pasta"/>
    <s v="QSR"/>
  </r>
  <r>
    <s v="CO0077"/>
    <s v="R013"/>
    <x v="0"/>
    <x v="2"/>
    <x v="3"/>
    <n v="40"/>
    <n v="4"/>
    <n v="599"/>
    <s v="Delivered"/>
    <s v="Sizzling Spice"/>
    <s v="Cloud Kitchen"/>
  </r>
  <r>
    <s v="CO0078"/>
    <s v="R007"/>
    <x v="0"/>
    <x v="4"/>
    <x v="50"/>
    <n v="55"/>
    <n v="4"/>
    <n v="1633"/>
    <s v="Delivered"/>
    <s v="Wok This Way"/>
    <s v="Cloud Kitchen"/>
  </r>
  <r>
    <s v="CO0079"/>
    <s v="R014"/>
    <x v="0"/>
    <x v="0"/>
    <x v="51"/>
    <n v="15"/>
    <n v="4"/>
    <n v="1362"/>
    <s v="Cancelled"/>
    <s v="Green Chilli"/>
    <s v="Dine-in"/>
  </r>
  <r>
    <s v="CO0080"/>
    <s v="R011"/>
    <x v="1"/>
    <x v="4"/>
    <x v="52"/>
    <n v="66"/>
    <n v="2"/>
    <n v="1095"/>
    <s v="Delivered"/>
    <s v="Bombay Bites"/>
    <s v="Dine-in"/>
  </r>
  <r>
    <s v="CO0081"/>
    <s v="R001"/>
    <x v="2"/>
    <x v="2"/>
    <x v="17"/>
    <n v="39"/>
    <n v="4"/>
    <n v="819"/>
    <s v="Delivered"/>
    <s v="Spice Route"/>
    <s v="Cloud Kitchen"/>
  </r>
  <r>
    <s v="CO0082"/>
    <s v="R013"/>
    <x v="0"/>
    <x v="1"/>
    <x v="53"/>
    <n v="44"/>
    <n v="1"/>
    <n v="1113"/>
    <s v="Delivered"/>
    <s v="Sizzling Spice"/>
    <s v="Cloud Kitchen"/>
  </r>
  <r>
    <s v="CO0083"/>
    <s v="R012"/>
    <x v="1"/>
    <x v="1"/>
    <x v="44"/>
    <n v="20"/>
    <n v="1"/>
    <n v="1694"/>
    <s v="Delivered"/>
    <s v="La Pasta"/>
    <s v="QSR"/>
  </r>
  <r>
    <s v="CO0084"/>
    <s v="R004"/>
    <x v="3"/>
    <x v="4"/>
    <x v="51"/>
    <n v="31"/>
    <n v="2"/>
    <n v="408"/>
    <s v="Delayed"/>
    <s v="Taco Fiesta"/>
    <s v="Cloud Kitchen"/>
  </r>
  <r>
    <s v="CO0085"/>
    <s v="R011"/>
    <x v="1"/>
    <x v="3"/>
    <x v="28"/>
    <n v="71"/>
    <n v="3"/>
    <n v="1720"/>
    <s v="Delivered"/>
    <s v="Bombay Bites"/>
    <s v="Dine-in"/>
  </r>
  <r>
    <s v="CO0086"/>
    <s v="R003"/>
    <x v="1"/>
    <x v="0"/>
    <x v="38"/>
    <n v="25"/>
    <n v="5"/>
    <n v="202"/>
    <s v="Delivered"/>
    <s v="Noodle Bar"/>
    <s v="QSR"/>
  </r>
  <r>
    <s v="CO0087"/>
    <s v="R010"/>
    <x v="0"/>
    <x v="2"/>
    <x v="54"/>
    <n v="21"/>
    <n v="5"/>
    <n v="1564"/>
    <s v="Delivered"/>
    <s v="Dragon Wok"/>
    <s v="Cloud Kitchen"/>
  </r>
  <r>
    <s v="CO0088"/>
    <s v="R002"/>
    <x v="2"/>
    <x v="3"/>
    <x v="55"/>
    <n v="17"/>
    <n v="3"/>
    <n v="1241"/>
    <s v="Delivered"/>
    <s v="Urban Tadka"/>
    <s v="Dine-in"/>
  </r>
  <r>
    <s v="CO0089"/>
    <s v="R011"/>
    <x v="2"/>
    <x v="4"/>
    <x v="40"/>
    <n v="55"/>
    <n v="1"/>
    <n v="1010"/>
    <s v="Delayed"/>
    <s v="Bombay Bites"/>
    <s v="Dine-in"/>
  </r>
  <r>
    <s v="CO0090"/>
    <s v="R002"/>
    <x v="0"/>
    <x v="1"/>
    <x v="7"/>
    <n v="70"/>
    <n v="2"/>
    <n v="1041"/>
    <s v="Delivered"/>
    <s v="Urban Tadka"/>
    <s v="Dine-in"/>
  </r>
  <r>
    <s v="CO0091"/>
    <s v="R012"/>
    <x v="2"/>
    <x v="3"/>
    <x v="3"/>
    <n v="73"/>
    <n v="4"/>
    <n v="1042"/>
    <s v="Cancelled"/>
    <s v="La Pasta"/>
    <s v="QSR"/>
  </r>
  <r>
    <s v="CO0092"/>
    <s v="R005"/>
    <x v="2"/>
    <x v="0"/>
    <x v="56"/>
    <n v="47"/>
    <n v="4"/>
    <n v="649"/>
    <s v="Delayed"/>
    <s v="Pizza Corner"/>
    <s v="Dine-in"/>
  </r>
  <r>
    <s v="CO0093"/>
    <s v="R010"/>
    <x v="0"/>
    <x v="1"/>
    <x v="57"/>
    <n v="75"/>
    <n v="3"/>
    <n v="522"/>
    <s v="Delayed"/>
    <s v="Dragon Wok"/>
    <s v="Cloud Kitchen"/>
  </r>
  <r>
    <s v="CO0094"/>
    <s v="R004"/>
    <x v="2"/>
    <x v="1"/>
    <x v="58"/>
    <n v="47"/>
    <n v="5"/>
    <n v="1586"/>
    <s v="Delivered"/>
    <s v="Taco Fiesta"/>
    <s v="Cloud Kitchen"/>
  </r>
  <r>
    <s v="CO0095"/>
    <s v="R009"/>
    <x v="1"/>
    <x v="3"/>
    <x v="4"/>
    <n v="22"/>
    <n v="2"/>
    <n v="1624"/>
    <s v="Delivered"/>
    <s v="Roma's Kitchen"/>
    <s v="QSR"/>
  </r>
  <r>
    <s v="CO0096"/>
    <s v="R008"/>
    <x v="3"/>
    <x v="2"/>
    <x v="52"/>
    <n v="74"/>
    <n v="4"/>
    <n v="1773"/>
    <s v="Delivered"/>
    <s v="El Sombrero"/>
    <s v="Dine-in"/>
  </r>
  <r>
    <s v="CO0097"/>
    <s v="R002"/>
    <x v="2"/>
    <x v="0"/>
    <x v="9"/>
    <n v="43"/>
    <n v="3"/>
    <n v="1509"/>
    <s v="Cancelled"/>
    <s v="Urban Tadka"/>
    <s v="Dine-in"/>
  </r>
  <r>
    <s v="CO0098"/>
    <s v="R006"/>
    <x v="0"/>
    <x v="3"/>
    <x v="19"/>
    <n v="56"/>
    <n v="4"/>
    <n v="1677"/>
    <s v="Delayed"/>
    <s v="Curry House"/>
    <s v="QSR"/>
  </r>
  <r>
    <s v="CO0099"/>
    <s v="R006"/>
    <x v="2"/>
    <x v="2"/>
    <x v="8"/>
    <n v="51"/>
    <n v="3"/>
    <n v="622"/>
    <s v="Delivered"/>
    <s v="Curry House"/>
    <s v="QSR"/>
  </r>
  <r>
    <s v="CO0100"/>
    <s v="R012"/>
    <x v="3"/>
    <x v="1"/>
    <x v="55"/>
    <n v="35"/>
    <n v="2"/>
    <n v="593"/>
    <s v="Delayed"/>
    <s v="La Pasta"/>
    <s v="QSR"/>
  </r>
  <r>
    <s v="CO0101"/>
    <s v="R005"/>
    <x v="2"/>
    <x v="4"/>
    <x v="4"/>
    <n v="49"/>
    <n v="2"/>
    <n v="889"/>
    <s v="Delivered"/>
    <s v="Pizza Corner"/>
    <s v="Dine-in"/>
  </r>
  <r>
    <s v="CO0102"/>
    <s v="R005"/>
    <x v="1"/>
    <x v="3"/>
    <x v="34"/>
    <n v="47"/>
    <n v="1"/>
    <n v="261"/>
    <s v="Delayed"/>
    <s v="Pizza Corner"/>
    <s v="Dine-in"/>
  </r>
  <r>
    <s v="CO0103"/>
    <s v="R005"/>
    <x v="3"/>
    <x v="2"/>
    <x v="59"/>
    <n v="13"/>
    <n v="5"/>
    <n v="732"/>
    <s v="Delayed"/>
    <s v="Pizza Corner"/>
    <s v="Dine-in"/>
  </r>
  <r>
    <s v="CO0104"/>
    <s v="R008"/>
    <x v="0"/>
    <x v="1"/>
    <x v="60"/>
    <n v="18"/>
    <n v="3"/>
    <n v="1128"/>
    <s v="Delivered"/>
    <s v="El Sombrero"/>
    <s v="Dine-in"/>
  </r>
  <r>
    <s v="CO0105"/>
    <s v="R014"/>
    <x v="1"/>
    <x v="2"/>
    <x v="61"/>
    <n v="21"/>
    <n v="5"/>
    <n v="1439"/>
    <s v="Delivered"/>
    <s v="Green Chilli"/>
    <s v="Dine-in"/>
  </r>
  <r>
    <s v="CO0106"/>
    <s v="R003"/>
    <x v="3"/>
    <x v="3"/>
    <x v="62"/>
    <n v="22"/>
    <n v="2"/>
    <n v="392"/>
    <s v="Delayed"/>
    <s v="Noodle Bar"/>
    <s v="QSR"/>
  </r>
  <r>
    <s v="CO0107"/>
    <s v="R013"/>
    <x v="0"/>
    <x v="3"/>
    <x v="30"/>
    <n v="40"/>
    <n v="5"/>
    <n v="929"/>
    <s v="Delayed"/>
    <s v="Sizzling Spice"/>
    <s v="Cloud Kitchen"/>
  </r>
  <r>
    <s v="CO0108"/>
    <s v="R015"/>
    <x v="0"/>
    <x v="1"/>
    <x v="63"/>
    <n v="66"/>
    <n v="3"/>
    <n v="1314"/>
    <s v="Cancelled"/>
    <s v="Salsa Nights"/>
    <s v="QSR"/>
  </r>
  <r>
    <s v="CO0109"/>
    <s v="R001"/>
    <x v="1"/>
    <x v="0"/>
    <x v="13"/>
    <n v="39"/>
    <n v="3"/>
    <n v="1502"/>
    <s v="Delivered"/>
    <s v="Spice Route"/>
    <s v="Cloud Kitchen"/>
  </r>
  <r>
    <s v="CO0110"/>
    <s v="R003"/>
    <x v="3"/>
    <x v="0"/>
    <x v="64"/>
    <n v="21"/>
    <n v="2"/>
    <n v="155"/>
    <s v="Delivered"/>
    <s v="Noodle Bar"/>
    <s v="QSR"/>
  </r>
  <r>
    <s v="CO0111"/>
    <s v="R008"/>
    <x v="0"/>
    <x v="1"/>
    <x v="65"/>
    <n v="41"/>
    <n v="3"/>
    <n v="1597"/>
    <s v="Delivered"/>
    <s v="El Sombrero"/>
    <s v="Dine-in"/>
  </r>
  <r>
    <s v="CO0112"/>
    <s v="R012"/>
    <x v="0"/>
    <x v="4"/>
    <x v="35"/>
    <n v="41"/>
    <n v="3"/>
    <n v="1763"/>
    <s v="Cancelled"/>
    <s v="La Pasta"/>
    <s v="QSR"/>
  </r>
  <r>
    <s v="CO0113"/>
    <s v="R011"/>
    <x v="3"/>
    <x v="2"/>
    <x v="15"/>
    <n v="40"/>
    <n v="2"/>
    <n v="694"/>
    <s v="Delivered"/>
    <s v="Bombay Bites"/>
    <s v="Dine-in"/>
  </r>
  <r>
    <s v="CO0114"/>
    <s v="R002"/>
    <x v="1"/>
    <x v="0"/>
    <x v="38"/>
    <n v="48"/>
    <n v="4"/>
    <n v="404"/>
    <s v="Delayed"/>
    <s v="Urban Tadka"/>
    <s v="Dine-in"/>
  </r>
  <r>
    <s v="CO0115"/>
    <s v="R012"/>
    <x v="2"/>
    <x v="2"/>
    <x v="8"/>
    <n v="75"/>
    <n v="4"/>
    <n v="314"/>
    <s v="Cancelled"/>
    <s v="La Pasta"/>
    <s v="QSR"/>
  </r>
  <r>
    <s v="CO0116"/>
    <s v="R001"/>
    <x v="0"/>
    <x v="1"/>
    <x v="66"/>
    <n v="44"/>
    <n v="1"/>
    <n v="337"/>
    <s v="Delivered"/>
    <s v="Spice Route"/>
    <s v="Cloud Kitchen"/>
  </r>
  <r>
    <s v="CO0117"/>
    <s v="R011"/>
    <x v="1"/>
    <x v="1"/>
    <x v="24"/>
    <n v="17"/>
    <n v="2"/>
    <n v="1113"/>
    <s v="Delayed"/>
    <s v="Bombay Bites"/>
    <s v="Dine-in"/>
  </r>
  <r>
    <s v="CO0118"/>
    <s v="R011"/>
    <x v="0"/>
    <x v="1"/>
    <x v="60"/>
    <n v="67"/>
    <n v="4"/>
    <n v="336"/>
    <s v="Delayed"/>
    <s v="Bombay Bites"/>
    <s v="Dine-in"/>
  </r>
  <r>
    <s v="CO0119"/>
    <s v="R006"/>
    <x v="0"/>
    <x v="1"/>
    <x v="17"/>
    <n v="25"/>
    <n v="2"/>
    <n v="825"/>
    <s v="Delivered"/>
    <s v="Curry House"/>
    <s v="QSR"/>
  </r>
  <r>
    <s v="CO0120"/>
    <s v="R012"/>
    <x v="0"/>
    <x v="1"/>
    <x v="67"/>
    <n v="63"/>
    <n v="5"/>
    <n v="225"/>
    <s v="Delayed"/>
    <s v="La Pasta"/>
    <s v="QSR"/>
  </r>
  <r>
    <s v="CO0121"/>
    <s v="R002"/>
    <x v="2"/>
    <x v="1"/>
    <x v="17"/>
    <n v="26"/>
    <n v="4"/>
    <n v="1203"/>
    <s v="Delivered"/>
    <s v="Urban Tadka"/>
    <s v="Dine-in"/>
  </r>
  <r>
    <s v="CO0122"/>
    <s v="R011"/>
    <x v="0"/>
    <x v="2"/>
    <x v="29"/>
    <n v="36"/>
    <n v="5"/>
    <n v="890"/>
    <s v="Cancelled"/>
    <s v="Bombay Bites"/>
    <s v="Dine-in"/>
  </r>
  <r>
    <s v="CO0123"/>
    <s v="R013"/>
    <x v="0"/>
    <x v="2"/>
    <x v="29"/>
    <n v="38"/>
    <n v="3"/>
    <n v="1274"/>
    <s v="Delivered"/>
    <s v="Sizzling Spice"/>
    <s v="Cloud Kitchen"/>
  </r>
  <r>
    <s v="CO0124"/>
    <s v="R015"/>
    <x v="2"/>
    <x v="2"/>
    <x v="68"/>
    <n v="74"/>
    <n v="1"/>
    <n v="209"/>
    <s v="Cancelled"/>
    <s v="Salsa Nights"/>
    <s v="QSR"/>
  </r>
  <r>
    <s v="CO0125"/>
    <s v="R013"/>
    <x v="3"/>
    <x v="0"/>
    <x v="38"/>
    <n v="13"/>
    <n v="5"/>
    <n v="985"/>
    <s v="Delivered"/>
    <s v="Sizzling Spice"/>
    <s v="Cloud Kitchen"/>
  </r>
  <r>
    <s v="CO0126"/>
    <s v="R004"/>
    <x v="1"/>
    <x v="2"/>
    <x v="55"/>
    <n v="31"/>
    <n v="4"/>
    <n v="1617"/>
    <s v="Delivered"/>
    <s v="Taco Fiesta"/>
    <s v="Cloud Kitchen"/>
  </r>
  <r>
    <s v="CO0127"/>
    <s v="R009"/>
    <x v="2"/>
    <x v="2"/>
    <x v="69"/>
    <n v="72"/>
    <n v="2"/>
    <n v="1085"/>
    <s v="Delayed"/>
    <s v="Roma's Kitchen"/>
    <s v="QSR"/>
  </r>
  <r>
    <s v="CO0128"/>
    <s v="R003"/>
    <x v="0"/>
    <x v="0"/>
    <x v="30"/>
    <n v="29"/>
    <n v="1"/>
    <n v="715"/>
    <s v="Delivered"/>
    <s v="Noodle Bar"/>
    <s v="QSR"/>
  </r>
  <r>
    <s v="CO0129"/>
    <s v="R006"/>
    <x v="2"/>
    <x v="4"/>
    <x v="27"/>
    <n v="50"/>
    <n v="5"/>
    <n v="1337"/>
    <s v="Delayed"/>
    <s v="Curry House"/>
    <s v="QSR"/>
  </r>
  <r>
    <s v="CO0130"/>
    <s v="R014"/>
    <x v="3"/>
    <x v="2"/>
    <x v="3"/>
    <n v="73"/>
    <n v="3"/>
    <n v="830"/>
    <s v="Delayed"/>
    <s v="Green Chilli"/>
    <s v="Dine-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199D9-E9B4-4C70-95E5-61CE4DA0F82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E3:F7" firstHeaderRow="1" firstDataRow="1" firstDataCol="1"/>
  <pivotFields count="13">
    <pivotField dataField="1" showAll="0"/>
    <pivotField showAll="0"/>
    <pivotField showAll="0"/>
    <pivotField showAll="0">
      <items count="6">
        <item x="3"/>
        <item h="1" x="1"/>
        <item h="1" x="4"/>
        <item h="1" x="0"/>
        <item h="1" x="2"/>
        <item t="default"/>
      </items>
    </pivotField>
    <pivotField axis="axisRow" numFmtId="164" showAll="0">
      <items count="71">
        <item x="26"/>
        <item x="57"/>
        <item x="65"/>
        <item x="29"/>
        <item x="18"/>
        <item x="21"/>
        <item x="22"/>
        <item x="49"/>
        <item x="56"/>
        <item x="2"/>
        <item x="59"/>
        <item x="15"/>
        <item x="55"/>
        <item x="34"/>
        <item x="12"/>
        <item x="36"/>
        <item x="33"/>
        <item x="16"/>
        <item x="60"/>
        <item x="4"/>
        <item x="54"/>
        <item x="31"/>
        <item x="28"/>
        <item x="44"/>
        <item x="5"/>
        <item x="43"/>
        <item x="11"/>
        <item x="47"/>
        <item x="8"/>
        <item x="1"/>
        <item x="27"/>
        <item x="62"/>
        <item x="38"/>
        <item x="32"/>
        <item x="17"/>
        <item x="58"/>
        <item x="6"/>
        <item x="37"/>
        <item x="50"/>
        <item x="9"/>
        <item x="53"/>
        <item x="39"/>
        <item x="48"/>
        <item x="0"/>
        <item x="45"/>
        <item x="14"/>
        <item x="42"/>
        <item x="69"/>
        <item x="61"/>
        <item x="40"/>
        <item x="23"/>
        <item x="19"/>
        <item x="3"/>
        <item x="64"/>
        <item x="41"/>
        <item x="24"/>
        <item x="63"/>
        <item x="30"/>
        <item x="66"/>
        <item x="46"/>
        <item x="51"/>
        <item x="13"/>
        <item x="7"/>
        <item x="52"/>
        <item x="10"/>
        <item x="67"/>
        <item x="20"/>
        <item x="25"/>
        <item x="35"/>
        <item x="68"/>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4">
    <i>
      <x v="1"/>
    </i>
    <i>
      <x v="2"/>
    </i>
    <i>
      <x v="3"/>
    </i>
    <i t="grand">
      <x/>
    </i>
  </rowItems>
  <colItems count="1">
    <i/>
  </colItems>
  <dataFields count="1">
    <dataField name="Count of Order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4" name="Order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816355-349A-4058-A512-A4C4376E285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C9" firstHeaderRow="1" firstDataRow="2" firstDataCol="1"/>
  <pivotFields count="13">
    <pivotField showAll="0"/>
    <pivotField showAll="0"/>
    <pivotField axis="axisRow" showAll="0">
      <items count="5">
        <item x="3"/>
        <item x="1"/>
        <item x="2"/>
        <item x="0"/>
        <item t="default"/>
      </items>
    </pivotField>
    <pivotField axis="axisCol" showAll="0">
      <items count="6">
        <item x="3"/>
        <item h="1" x="1"/>
        <item h="1" x="4"/>
        <item h="1" x="0"/>
        <item h="1" x="2"/>
        <item t="default"/>
      </items>
    </pivotField>
    <pivotField numFmtId="164" showAll="0">
      <items count="71">
        <item x="26"/>
        <item x="57"/>
        <item x="65"/>
        <item x="29"/>
        <item x="18"/>
        <item x="21"/>
        <item x="22"/>
        <item x="49"/>
        <item x="56"/>
        <item x="2"/>
        <item x="59"/>
        <item x="15"/>
        <item x="55"/>
        <item x="34"/>
        <item x="12"/>
        <item x="36"/>
        <item x="33"/>
        <item x="16"/>
        <item x="60"/>
        <item x="4"/>
        <item x="54"/>
        <item x="31"/>
        <item x="28"/>
        <item x="44"/>
        <item x="5"/>
        <item x="43"/>
        <item x="11"/>
        <item x="47"/>
        <item x="8"/>
        <item x="1"/>
        <item x="27"/>
        <item x="62"/>
        <item x="38"/>
        <item x="32"/>
        <item x="17"/>
        <item x="58"/>
        <item x="6"/>
        <item x="37"/>
        <item x="50"/>
        <item x="9"/>
        <item x="53"/>
        <item x="39"/>
        <item x="48"/>
        <item x="0"/>
        <item x="45"/>
        <item x="14"/>
        <item x="42"/>
        <item x="69"/>
        <item x="61"/>
        <item x="40"/>
        <item x="23"/>
        <item x="19"/>
        <item x="3"/>
        <item x="64"/>
        <item x="41"/>
        <item x="24"/>
        <item x="63"/>
        <item x="30"/>
        <item x="66"/>
        <item x="46"/>
        <item x="51"/>
        <item x="13"/>
        <item x="7"/>
        <item x="52"/>
        <item x="10"/>
        <item x="67"/>
        <item x="20"/>
        <item x="25"/>
        <item x="35"/>
        <item x="68"/>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3"/>
  </colFields>
  <colItems count="2">
    <i>
      <x/>
    </i>
    <i t="grand">
      <x/>
    </i>
  </colItems>
  <dataFields count="1">
    <dataField name="Sum of Revenue" fld="7" baseField="0" baseItem="0"/>
  </dataField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F3FBFD6C-D886-49A1-B20A-D17412E94B25}" sourceName="Zone">
  <pivotTables>
    <pivotTable tabId="6" name="PivotTable1"/>
    <pivotTable tabId="6" name="PivotTable2"/>
  </pivotTables>
  <data>
    <tabular pivotCacheId="1150008670">
      <items count="5">
        <i x="3" s="1"/>
        <i x="1"/>
        <i x="4"/>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1BA817C8-2C23-46B1-8BE8-3B4EC5056471}" cache="Slicer_Zone" caption="Zo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Restaurants" displayName="tblRestaurants" ref="A3:E18" totalsRowShown="0">
  <autoFilter ref="A3:E18" xr:uid="{00000000-0009-0000-0100-000002000000}"/>
  <tableColumns count="5">
    <tableColumn id="1" xr3:uid="{00000000-0010-0000-0000-000001000000}" name="RestaurantID"/>
    <tableColumn id="2" xr3:uid="{00000000-0010-0000-0000-000002000000}" name="RestaurantName"/>
    <tableColumn id="3" xr3:uid="{00000000-0010-0000-0000-000003000000}" name="Zone"/>
    <tableColumn id="4" xr3:uid="{00000000-0010-0000-0000-000004000000}" name="Category"/>
    <tableColumn id="5" xr3:uid="{00000000-0010-0000-0000-000005000000}" name="AvgRatin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Orders" displayName="tblOrders" ref="A3:K133" totalsRowShown="0">
  <autoFilter ref="A3:K133" xr:uid="{00000000-0009-0000-0100-000001000000}"/>
  <tableColumns count="11">
    <tableColumn id="1" xr3:uid="{00000000-0010-0000-0100-000001000000}" name="OrderID"/>
    <tableColumn id="2" xr3:uid="{00000000-0010-0000-0100-000002000000}" name="RestaurantID"/>
    <tableColumn id="3" xr3:uid="{00000000-0010-0000-0100-000003000000}" name="Cuisine"/>
    <tableColumn id="4" xr3:uid="{00000000-0010-0000-0100-000004000000}" name="Zone"/>
    <tableColumn id="5" xr3:uid="{00000000-0010-0000-0100-000005000000}" name="OrderDate"/>
    <tableColumn id="6" xr3:uid="{00000000-0010-0000-0100-000006000000}" name="DeliveryTime"/>
    <tableColumn id="7" xr3:uid="{00000000-0010-0000-0100-000007000000}" name="Rating"/>
    <tableColumn id="8" xr3:uid="{00000000-0010-0000-0100-000008000000}" name="Revenue"/>
    <tableColumn id="9" xr3:uid="{00000000-0010-0000-0100-000009000000}" name="Status"/>
    <tableColumn id="10" xr3:uid="{00000000-0010-0000-0100-00000A000000}" name="RestaurantName"/>
    <tableColumn id="11" xr3:uid="{00000000-0010-0000-0100-00000B000000}" name="Catego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A7D154B9-8178-4AFB-8A0F-1B696C3D7BE5}" sourceName="OrderDate">
  <pivotTables>
    <pivotTable tabId="6" name="PivotTable2"/>
  </pivotTables>
  <state minimalRefreshVersion="6" lastRefreshVersion="6" pivotCacheId="1150008670"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F041C990-776A-4A79-A6B4-BE19D7B81CD8}" cache="NativeTimeline_OrderDate" caption="OrderDate" level="0" selectionLevel="0"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zoomScaleNormal="100" workbookViewId="0"/>
  </sheetViews>
  <sheetFormatPr defaultColWidth="8.6640625" defaultRowHeight="14.4" x14ac:dyDescent="0.3"/>
  <cols>
    <col min="1" max="1" width="16" customWidth="1"/>
    <col min="2" max="2" width="20" customWidth="1"/>
    <col min="3" max="3" width="12" customWidth="1"/>
    <col min="4" max="4" width="16" customWidth="1"/>
    <col min="5" max="5" width="12" customWidth="1"/>
  </cols>
  <sheetData>
    <row r="1" spans="1:5" ht="19.2" x14ac:dyDescent="0.35">
      <c r="A1" s="1" t="s">
        <v>0</v>
      </c>
    </row>
    <row r="3" spans="1:5" x14ac:dyDescent="0.3">
      <c r="A3" s="2" t="s">
        <v>1</v>
      </c>
      <c r="B3" s="2" t="s">
        <v>2</v>
      </c>
      <c r="C3" s="2" t="s">
        <v>3</v>
      </c>
      <c r="D3" s="2" t="s">
        <v>4</v>
      </c>
      <c r="E3" s="2" t="s">
        <v>5</v>
      </c>
    </row>
    <row r="4" spans="1:5" x14ac:dyDescent="0.3">
      <c r="A4" s="3" t="s">
        <v>6</v>
      </c>
      <c r="B4" s="3" t="s">
        <v>7</v>
      </c>
      <c r="C4" s="3" t="s">
        <v>8</v>
      </c>
      <c r="D4" s="3" t="s">
        <v>9</v>
      </c>
      <c r="E4" s="3">
        <v>4.2</v>
      </c>
    </row>
    <row r="5" spans="1:5" x14ac:dyDescent="0.3">
      <c r="A5" s="3" t="s">
        <v>10</v>
      </c>
      <c r="B5" s="3" t="s">
        <v>11</v>
      </c>
      <c r="C5" s="3" t="s">
        <v>12</v>
      </c>
      <c r="D5" s="3" t="s">
        <v>13</v>
      </c>
      <c r="E5" s="3">
        <v>3.2</v>
      </c>
    </row>
    <row r="6" spans="1:5" x14ac:dyDescent="0.3">
      <c r="A6" s="3" t="s">
        <v>14</v>
      </c>
      <c r="B6" s="3" t="s">
        <v>15</v>
      </c>
      <c r="C6" s="3" t="s">
        <v>16</v>
      </c>
      <c r="D6" s="3" t="s">
        <v>17</v>
      </c>
      <c r="E6" s="3">
        <v>3.6</v>
      </c>
    </row>
    <row r="7" spans="1:5" x14ac:dyDescent="0.3">
      <c r="A7" s="3" t="s">
        <v>18</v>
      </c>
      <c r="B7" s="3" t="s">
        <v>19</v>
      </c>
      <c r="C7" s="3" t="s">
        <v>20</v>
      </c>
      <c r="D7" s="3" t="s">
        <v>9</v>
      </c>
      <c r="E7" s="3">
        <v>3.6</v>
      </c>
    </row>
    <row r="8" spans="1:5" x14ac:dyDescent="0.3">
      <c r="A8" s="3" t="s">
        <v>21</v>
      </c>
      <c r="B8" s="3" t="s">
        <v>22</v>
      </c>
      <c r="C8" s="3" t="s">
        <v>23</v>
      </c>
      <c r="D8" s="3" t="s">
        <v>13</v>
      </c>
      <c r="E8" s="3">
        <v>4.4000000000000004</v>
      </c>
    </row>
    <row r="9" spans="1:5" x14ac:dyDescent="0.3">
      <c r="A9" s="3" t="s">
        <v>24</v>
      </c>
      <c r="B9" s="3" t="s">
        <v>25</v>
      </c>
      <c r="C9" s="3" t="s">
        <v>8</v>
      </c>
      <c r="D9" s="3" t="s">
        <v>17</v>
      </c>
      <c r="E9" s="3">
        <v>4.3</v>
      </c>
    </row>
    <row r="10" spans="1:5" x14ac:dyDescent="0.3">
      <c r="A10" s="3" t="s">
        <v>26</v>
      </c>
      <c r="B10" s="3" t="s">
        <v>27</v>
      </c>
      <c r="C10" s="3" t="s">
        <v>12</v>
      </c>
      <c r="D10" s="3" t="s">
        <v>9</v>
      </c>
      <c r="E10" s="3">
        <v>4.5999999999999996</v>
      </c>
    </row>
    <row r="11" spans="1:5" x14ac:dyDescent="0.3">
      <c r="A11" s="3" t="s">
        <v>28</v>
      </c>
      <c r="B11" s="3" t="s">
        <v>29</v>
      </c>
      <c r="C11" s="3" t="s">
        <v>16</v>
      </c>
      <c r="D11" s="3" t="s">
        <v>13</v>
      </c>
      <c r="E11" s="3">
        <v>3.3</v>
      </c>
    </row>
    <row r="12" spans="1:5" x14ac:dyDescent="0.3">
      <c r="A12" s="3" t="s">
        <v>30</v>
      </c>
      <c r="B12" s="3" t="s">
        <v>31</v>
      </c>
      <c r="C12" s="3" t="s">
        <v>20</v>
      </c>
      <c r="D12" s="3" t="s">
        <v>17</v>
      </c>
      <c r="E12" s="3">
        <v>3.9</v>
      </c>
    </row>
    <row r="13" spans="1:5" x14ac:dyDescent="0.3">
      <c r="A13" s="3" t="s">
        <v>32</v>
      </c>
      <c r="B13" s="3" t="s">
        <v>33</v>
      </c>
      <c r="C13" s="3" t="s">
        <v>23</v>
      </c>
      <c r="D13" s="3" t="s">
        <v>9</v>
      </c>
      <c r="E13" s="3">
        <v>3.2</v>
      </c>
    </row>
    <row r="14" spans="1:5" x14ac:dyDescent="0.3">
      <c r="A14" s="3" t="s">
        <v>34</v>
      </c>
      <c r="B14" s="3" t="s">
        <v>35</v>
      </c>
      <c r="C14" s="3" t="s">
        <v>8</v>
      </c>
      <c r="D14" s="3" t="s">
        <v>13</v>
      </c>
      <c r="E14" s="3">
        <v>3.5</v>
      </c>
    </row>
    <row r="15" spans="1:5" x14ac:dyDescent="0.3">
      <c r="A15" s="3" t="s">
        <v>36</v>
      </c>
      <c r="B15" s="3" t="s">
        <v>37</v>
      </c>
      <c r="C15" s="3" t="s">
        <v>12</v>
      </c>
      <c r="D15" s="3" t="s">
        <v>17</v>
      </c>
      <c r="E15" s="3">
        <v>4</v>
      </c>
    </row>
    <row r="16" spans="1:5" x14ac:dyDescent="0.3">
      <c r="A16" s="3" t="s">
        <v>38</v>
      </c>
      <c r="B16" s="3" t="s">
        <v>39</v>
      </c>
      <c r="C16" s="3" t="s">
        <v>16</v>
      </c>
      <c r="D16" s="3" t="s">
        <v>9</v>
      </c>
      <c r="E16" s="3">
        <v>3.2</v>
      </c>
    </row>
    <row r="17" spans="1:5" x14ac:dyDescent="0.3">
      <c r="A17" s="3" t="s">
        <v>40</v>
      </c>
      <c r="B17" s="3" t="s">
        <v>41</v>
      </c>
      <c r="C17" s="3" t="s">
        <v>20</v>
      </c>
      <c r="D17" s="3" t="s">
        <v>13</v>
      </c>
      <c r="E17" s="3">
        <v>3.5</v>
      </c>
    </row>
    <row r="18" spans="1:5" x14ac:dyDescent="0.3">
      <c r="A18" s="3" t="s">
        <v>42</v>
      </c>
      <c r="B18" s="3" t="s">
        <v>43</v>
      </c>
      <c r="C18" s="3" t="s">
        <v>23</v>
      </c>
      <c r="D18" s="3" t="s">
        <v>17</v>
      </c>
      <c r="E18" s="3">
        <v>4.2</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5"/>
  <sheetViews>
    <sheetView zoomScaleNormal="100" workbookViewId="0">
      <pane ySplit="3" topLeftCell="A4" activePane="bottomLeft" state="frozen"/>
      <selection pane="bottomLeft" activeCell="A3" sqref="A3"/>
    </sheetView>
  </sheetViews>
  <sheetFormatPr defaultColWidth="8.6640625" defaultRowHeight="14.4" x14ac:dyDescent="0.3"/>
  <cols>
    <col min="1" max="1" width="10" customWidth="1"/>
    <col min="2" max="2" width="13" customWidth="1"/>
    <col min="3" max="3" width="11" customWidth="1"/>
    <col min="4" max="4" width="9" customWidth="1"/>
    <col min="5" max="6" width="13" customWidth="1"/>
    <col min="7" max="7" width="9" customWidth="1"/>
    <col min="8" max="9" width="11" customWidth="1"/>
    <col min="10" max="10" width="18" customWidth="1"/>
    <col min="11" max="11" width="15" customWidth="1"/>
  </cols>
  <sheetData>
    <row r="1" spans="1:11" ht="19.2" x14ac:dyDescent="0.35">
      <c r="A1" s="17" t="s">
        <v>213</v>
      </c>
      <c r="B1" s="17"/>
      <c r="C1" s="17"/>
      <c r="D1" s="17"/>
      <c r="E1" s="17"/>
      <c r="F1" s="17"/>
      <c r="G1" s="17"/>
      <c r="H1" s="17"/>
      <c r="I1" s="17"/>
      <c r="J1" s="17"/>
      <c r="K1" s="17"/>
    </row>
    <row r="3" spans="1:11" x14ac:dyDescent="0.3">
      <c r="A3" s="2" t="s">
        <v>44</v>
      </c>
      <c r="B3" s="2" t="s">
        <v>1</v>
      </c>
      <c r="C3" s="2" t="s">
        <v>45</v>
      </c>
      <c r="D3" s="2" t="s">
        <v>3</v>
      </c>
      <c r="E3" s="2" t="s">
        <v>46</v>
      </c>
      <c r="F3" s="2" t="s">
        <v>47</v>
      </c>
      <c r="G3" s="2" t="s">
        <v>48</v>
      </c>
      <c r="H3" s="2" t="s">
        <v>49</v>
      </c>
      <c r="I3" s="2" t="s">
        <v>50</v>
      </c>
      <c r="J3" s="2" t="s">
        <v>2</v>
      </c>
      <c r="K3" s="2" t="s">
        <v>4</v>
      </c>
    </row>
    <row r="4" spans="1:11" x14ac:dyDescent="0.3">
      <c r="A4" s="3" t="s">
        <v>51</v>
      </c>
      <c r="B4" s="3" t="s">
        <v>30</v>
      </c>
      <c r="C4" s="3" t="s">
        <v>52</v>
      </c>
      <c r="D4" s="3" t="s">
        <v>12</v>
      </c>
      <c r="E4" s="4">
        <v>46080</v>
      </c>
      <c r="F4" s="3">
        <v>47</v>
      </c>
      <c r="G4" s="3">
        <v>1</v>
      </c>
      <c r="H4" s="3">
        <v>1704</v>
      </c>
      <c r="I4" s="3" t="s">
        <v>53</v>
      </c>
      <c r="J4" s="3" t="str">
        <f>IFERROR(INDEX(tblRestaurants[RestaurantName],MATCH(B4,tblRestaurants[RestaurantID],0)),"Unknown")</f>
        <v>Roma's Kitchen</v>
      </c>
      <c r="K4" s="3" t="str">
        <f>IFERROR(INDEX(tblRestaurants[Category],MATCH(B4,tblRestaurants[RestaurantID],0)),"Unknown")</f>
        <v>QSR</v>
      </c>
    </row>
    <row r="5" spans="1:11" x14ac:dyDescent="0.3">
      <c r="A5" s="3" t="s">
        <v>54</v>
      </c>
      <c r="B5" s="3" t="s">
        <v>36</v>
      </c>
      <c r="C5" s="3" t="s">
        <v>52</v>
      </c>
      <c r="D5" s="3" t="s">
        <v>16</v>
      </c>
      <c r="E5" s="4">
        <v>46058</v>
      </c>
      <c r="F5" s="3">
        <v>31</v>
      </c>
      <c r="G5" s="3">
        <v>2</v>
      </c>
      <c r="H5" s="3">
        <v>1713</v>
      </c>
      <c r="I5" s="3" t="s">
        <v>53</v>
      </c>
      <c r="J5" s="3" t="str">
        <f>IFERROR(INDEX(tblRestaurants[RestaurantName],MATCH(B5,tblRestaurants[RestaurantID],0)),"Unknown")</f>
        <v>La Pasta</v>
      </c>
      <c r="K5" s="3" t="str">
        <f>IFERROR(INDEX(tblRestaurants[Category],MATCH(B5,tblRestaurants[RestaurantID],0)),"Unknown")</f>
        <v>QSR</v>
      </c>
    </row>
    <row r="6" spans="1:11" x14ac:dyDescent="0.3">
      <c r="A6" s="3" t="s">
        <v>55</v>
      </c>
      <c r="B6" s="3" t="s">
        <v>10</v>
      </c>
      <c r="C6" s="3" t="s">
        <v>56</v>
      </c>
      <c r="D6" s="3" t="s">
        <v>20</v>
      </c>
      <c r="E6" s="4">
        <v>46035</v>
      </c>
      <c r="F6" s="3">
        <v>57</v>
      </c>
      <c r="G6" s="3">
        <v>3</v>
      </c>
      <c r="H6" s="3">
        <v>1386</v>
      </c>
      <c r="I6" s="3" t="s">
        <v>53</v>
      </c>
      <c r="J6" s="3" t="str">
        <f>IFERROR(INDEX(tblRestaurants[RestaurantName],MATCH(B6,tblRestaurants[RestaurantID],0)),"Unknown")</f>
        <v>Urban Tadka</v>
      </c>
      <c r="K6" s="3" t="str">
        <f>IFERROR(INDEX(tblRestaurants[Category],MATCH(B6,tblRestaurants[RestaurantID],0)),"Unknown")</f>
        <v>Dine-in</v>
      </c>
    </row>
    <row r="7" spans="1:11" x14ac:dyDescent="0.3">
      <c r="A7" s="3" t="s">
        <v>57</v>
      </c>
      <c r="B7" s="3" t="s">
        <v>38</v>
      </c>
      <c r="C7" s="3" t="s">
        <v>56</v>
      </c>
      <c r="D7" s="3" t="s">
        <v>20</v>
      </c>
      <c r="E7" s="4">
        <v>46091</v>
      </c>
      <c r="F7" s="3">
        <v>27</v>
      </c>
      <c r="G7" s="3">
        <v>4</v>
      </c>
      <c r="H7" s="3">
        <v>311</v>
      </c>
      <c r="I7" s="3" t="s">
        <v>58</v>
      </c>
      <c r="J7" s="3" t="str">
        <f>IFERROR(INDEX(tblRestaurants[RestaurantName],MATCH(B7,tblRestaurants[RestaurantID],0)),"Unknown")</f>
        <v>Sizzling Spice</v>
      </c>
      <c r="K7" s="3" t="str">
        <f>IFERROR(INDEX(tblRestaurants[Category],MATCH(B7,tblRestaurants[RestaurantID],0)),"Unknown")</f>
        <v>Cloud Kitchen</v>
      </c>
    </row>
    <row r="8" spans="1:11" x14ac:dyDescent="0.3">
      <c r="A8" s="3" t="s">
        <v>59</v>
      </c>
      <c r="B8" s="3" t="s">
        <v>21</v>
      </c>
      <c r="C8" s="3" t="s">
        <v>60</v>
      </c>
      <c r="D8" s="3" t="s">
        <v>23</v>
      </c>
      <c r="E8" s="4">
        <v>46047</v>
      </c>
      <c r="F8" s="3">
        <v>20</v>
      </c>
      <c r="G8" s="3">
        <v>1</v>
      </c>
      <c r="H8" s="3">
        <v>1504</v>
      </c>
      <c r="I8" s="3" t="s">
        <v>53</v>
      </c>
      <c r="J8" s="3" t="str">
        <f>IFERROR(INDEX(tblRestaurants[RestaurantName],MATCH(B8,tblRestaurants[RestaurantID],0)),"Unknown")</f>
        <v>Pizza Corner</v>
      </c>
      <c r="K8" s="3" t="str">
        <f>IFERROR(INDEX(tblRestaurants[Category],MATCH(B8,tblRestaurants[RestaurantID],0)),"Unknown")</f>
        <v>Dine-in</v>
      </c>
    </row>
    <row r="9" spans="1:11" x14ac:dyDescent="0.3">
      <c r="A9" s="3" t="s">
        <v>61</v>
      </c>
      <c r="B9" s="3" t="s">
        <v>38</v>
      </c>
      <c r="C9" s="3" t="s">
        <v>60</v>
      </c>
      <c r="D9" s="3" t="s">
        <v>8</v>
      </c>
      <c r="E9" s="4">
        <v>46052</v>
      </c>
      <c r="F9" s="3">
        <v>24</v>
      </c>
      <c r="G9" s="3">
        <v>4</v>
      </c>
      <c r="H9" s="3">
        <v>719</v>
      </c>
      <c r="I9" s="3" t="s">
        <v>58</v>
      </c>
      <c r="J9" s="3" t="str">
        <f>IFERROR(INDEX(tblRestaurants[RestaurantName],MATCH(B9,tblRestaurants[RestaurantID],0)),"Unknown")</f>
        <v>Sizzling Spice</v>
      </c>
      <c r="K9" s="3" t="str">
        <f>IFERROR(INDEX(tblRestaurants[Category],MATCH(B9,tblRestaurants[RestaurantID],0)),"Unknown")</f>
        <v>Cloud Kitchen</v>
      </c>
    </row>
    <row r="10" spans="1:11" x14ac:dyDescent="0.3">
      <c r="A10" s="3" t="s">
        <v>62</v>
      </c>
      <c r="B10" s="3" t="s">
        <v>34</v>
      </c>
      <c r="C10" s="3" t="s">
        <v>60</v>
      </c>
      <c r="D10" s="3" t="s">
        <v>12</v>
      </c>
      <c r="E10" s="4">
        <v>46070</v>
      </c>
      <c r="F10" s="3">
        <v>57</v>
      </c>
      <c r="G10" s="3">
        <v>2</v>
      </c>
      <c r="H10" s="3">
        <v>1522</v>
      </c>
      <c r="I10" s="3" t="s">
        <v>53</v>
      </c>
      <c r="J10" s="3" t="str">
        <f>IFERROR(INDEX(tblRestaurants[RestaurantName],MATCH(B10,tblRestaurants[RestaurantID],0)),"Unknown")</f>
        <v>Bombay Bites</v>
      </c>
      <c r="K10" s="3" t="str">
        <f>IFERROR(INDEX(tblRestaurants[Category],MATCH(B10,tblRestaurants[RestaurantID],0)),"Unknown")</f>
        <v>Dine-in</v>
      </c>
    </row>
    <row r="11" spans="1:11" x14ac:dyDescent="0.3">
      <c r="A11" s="3" t="s">
        <v>63</v>
      </c>
      <c r="B11" s="3" t="s">
        <v>36</v>
      </c>
      <c r="C11" s="3" t="s">
        <v>56</v>
      </c>
      <c r="D11" s="3" t="s">
        <v>23</v>
      </c>
      <c r="E11" s="4">
        <v>46104</v>
      </c>
      <c r="F11" s="3">
        <v>33</v>
      </c>
      <c r="G11" s="3">
        <v>5</v>
      </c>
      <c r="H11" s="3">
        <v>1643</v>
      </c>
      <c r="I11" s="3" t="s">
        <v>53</v>
      </c>
      <c r="J11" s="3" t="str">
        <f>IFERROR(INDEX(tblRestaurants[RestaurantName],MATCH(B11,tblRestaurants[RestaurantID],0)),"Unknown")</f>
        <v>La Pasta</v>
      </c>
      <c r="K11" s="3" t="str">
        <f>IFERROR(INDEX(tblRestaurants[Category],MATCH(B11,tblRestaurants[RestaurantID],0)),"Unknown")</f>
        <v>QSR</v>
      </c>
    </row>
    <row r="12" spans="1:11" x14ac:dyDescent="0.3">
      <c r="A12" s="3" t="s">
        <v>64</v>
      </c>
      <c r="B12" s="3" t="s">
        <v>14</v>
      </c>
      <c r="C12" s="3" t="s">
        <v>52</v>
      </c>
      <c r="D12" s="3" t="s">
        <v>20</v>
      </c>
      <c r="E12" s="4">
        <v>46057</v>
      </c>
      <c r="F12" s="3">
        <v>40</v>
      </c>
      <c r="G12" s="3">
        <v>3</v>
      </c>
      <c r="H12" s="3">
        <v>1723</v>
      </c>
      <c r="I12" s="3" t="s">
        <v>53</v>
      </c>
      <c r="J12" s="3" t="str">
        <f>IFERROR(INDEX(tblRestaurants[RestaurantName],MATCH(B12,tblRestaurants[RestaurantID],0)),"Unknown")</f>
        <v>Noodle Bar</v>
      </c>
      <c r="K12" s="3" t="str">
        <f>IFERROR(INDEX(tblRestaurants[Category],MATCH(B12,tblRestaurants[RestaurantID],0)),"Unknown")</f>
        <v>QSR</v>
      </c>
    </row>
    <row r="13" spans="1:11" x14ac:dyDescent="0.3">
      <c r="A13" s="3" t="s">
        <v>65</v>
      </c>
      <c r="B13" s="3" t="s">
        <v>18</v>
      </c>
      <c r="C13" s="3" t="s">
        <v>56</v>
      </c>
      <c r="D13" s="3" t="s">
        <v>16</v>
      </c>
      <c r="E13" s="4">
        <v>46074</v>
      </c>
      <c r="F13" s="3">
        <v>46</v>
      </c>
      <c r="G13" s="3">
        <v>1</v>
      </c>
      <c r="H13" s="3">
        <v>582</v>
      </c>
      <c r="I13" s="3" t="s">
        <v>66</v>
      </c>
      <c r="J13" s="3" t="str">
        <f>IFERROR(INDEX(tblRestaurants[RestaurantName],MATCH(B13,tblRestaurants[RestaurantID],0)),"Unknown")</f>
        <v>Taco Fiesta</v>
      </c>
      <c r="K13" s="3" t="str">
        <f>IFERROR(INDEX(tblRestaurants[Category],MATCH(B13,tblRestaurants[RestaurantID],0)),"Unknown")</f>
        <v>Cloud Kitchen</v>
      </c>
    </row>
    <row r="14" spans="1:11" x14ac:dyDescent="0.3">
      <c r="A14" s="3" t="s">
        <v>67</v>
      </c>
      <c r="B14" s="3" t="s">
        <v>42</v>
      </c>
      <c r="C14" s="3" t="s">
        <v>60</v>
      </c>
      <c r="D14" s="3" t="s">
        <v>12</v>
      </c>
      <c r="E14" s="4">
        <v>46106</v>
      </c>
      <c r="F14" s="3">
        <v>75</v>
      </c>
      <c r="G14" s="3">
        <v>4</v>
      </c>
      <c r="H14" s="3">
        <v>1466</v>
      </c>
      <c r="I14" s="3" t="s">
        <v>58</v>
      </c>
      <c r="J14" s="3" t="str">
        <f>IFERROR(INDEX(tblRestaurants[RestaurantName],MATCH(B14,tblRestaurants[RestaurantID],0)),"Unknown")</f>
        <v>Salsa Nights</v>
      </c>
      <c r="K14" s="3" t="str">
        <f>IFERROR(INDEX(tblRestaurants[Category],MATCH(B14,tblRestaurants[RestaurantID],0)),"Unknown")</f>
        <v>QSR</v>
      </c>
    </row>
    <row r="15" spans="1:11" x14ac:dyDescent="0.3">
      <c r="A15" s="3" t="s">
        <v>68</v>
      </c>
      <c r="B15" s="3" t="s">
        <v>14</v>
      </c>
      <c r="C15" s="3" t="s">
        <v>60</v>
      </c>
      <c r="D15" s="3" t="s">
        <v>12</v>
      </c>
      <c r="E15" s="4">
        <v>46054</v>
      </c>
      <c r="F15" s="3">
        <v>45</v>
      </c>
      <c r="G15" s="3">
        <v>5</v>
      </c>
      <c r="H15" s="3">
        <v>1027</v>
      </c>
      <c r="I15" s="3" t="s">
        <v>66</v>
      </c>
      <c r="J15" s="3" t="str">
        <f>IFERROR(INDEX(tblRestaurants[RestaurantName],MATCH(B15,tblRestaurants[RestaurantID],0)),"Unknown")</f>
        <v>Noodle Bar</v>
      </c>
      <c r="K15" s="3" t="str">
        <f>IFERROR(INDEX(tblRestaurants[Category],MATCH(B15,tblRestaurants[RestaurantID],0)),"Unknown")</f>
        <v>QSR</v>
      </c>
    </row>
    <row r="16" spans="1:11" x14ac:dyDescent="0.3">
      <c r="A16" s="3" t="s">
        <v>69</v>
      </c>
      <c r="B16" s="3" t="s">
        <v>26</v>
      </c>
      <c r="C16" s="3" t="s">
        <v>60</v>
      </c>
      <c r="D16" s="3" t="s">
        <v>12</v>
      </c>
      <c r="E16" s="4">
        <v>46040</v>
      </c>
      <c r="F16" s="3">
        <v>75</v>
      </c>
      <c r="G16" s="3">
        <v>1</v>
      </c>
      <c r="H16" s="3">
        <v>1697</v>
      </c>
      <c r="I16" s="3" t="s">
        <v>53</v>
      </c>
      <c r="J16" s="3" t="str">
        <f>IFERROR(INDEX(tblRestaurants[RestaurantName],MATCH(B16,tblRestaurants[RestaurantID],0)),"Unknown")</f>
        <v>Wok This Way</v>
      </c>
      <c r="K16" s="3" t="str">
        <f>IFERROR(INDEX(tblRestaurants[Category],MATCH(B16,tblRestaurants[RestaurantID],0)),"Unknown")</f>
        <v>Cloud Kitchen</v>
      </c>
    </row>
    <row r="17" spans="1:11" x14ac:dyDescent="0.3">
      <c r="A17" s="3" t="s">
        <v>70</v>
      </c>
      <c r="B17" s="3" t="s">
        <v>40</v>
      </c>
      <c r="C17" s="3" t="s">
        <v>56</v>
      </c>
      <c r="D17" s="3" t="s">
        <v>12</v>
      </c>
      <c r="E17" s="4">
        <v>46103</v>
      </c>
      <c r="F17" s="3">
        <v>32</v>
      </c>
      <c r="G17" s="3">
        <v>4</v>
      </c>
      <c r="H17" s="3">
        <v>1371</v>
      </c>
      <c r="I17" s="3" t="s">
        <v>53</v>
      </c>
      <c r="J17" s="3" t="str">
        <f>IFERROR(INDEX(tblRestaurants[RestaurantName],MATCH(B17,tblRestaurants[RestaurantID],0)),"Unknown")</f>
        <v>Green Chilli</v>
      </c>
      <c r="K17" s="3" t="str">
        <f>IFERROR(INDEX(tblRestaurants[Category],MATCH(B17,tblRestaurants[RestaurantID],0)),"Unknown")</f>
        <v>Dine-in</v>
      </c>
    </row>
    <row r="18" spans="1:11" x14ac:dyDescent="0.3">
      <c r="A18" s="3" t="s">
        <v>71</v>
      </c>
      <c r="B18" s="3" t="s">
        <v>26</v>
      </c>
      <c r="C18" s="3" t="s">
        <v>52</v>
      </c>
      <c r="D18" s="3" t="s">
        <v>23</v>
      </c>
      <c r="E18" s="4">
        <v>46082</v>
      </c>
      <c r="F18" s="3">
        <v>44</v>
      </c>
      <c r="G18" s="3">
        <v>5</v>
      </c>
      <c r="H18" s="3">
        <v>173</v>
      </c>
      <c r="I18" s="3" t="s">
        <v>53</v>
      </c>
      <c r="J18" s="3" t="str">
        <f>IFERROR(INDEX(tblRestaurants[RestaurantName],MATCH(B18,tblRestaurants[RestaurantID],0)),"Unknown")</f>
        <v>Wok This Way</v>
      </c>
      <c r="K18" s="3" t="str">
        <f>IFERROR(INDEX(tblRestaurants[Category],MATCH(B18,tblRestaurants[RestaurantID],0)),"Unknown")</f>
        <v>Cloud Kitchen</v>
      </c>
    </row>
    <row r="19" spans="1:11" x14ac:dyDescent="0.3">
      <c r="A19" s="3" t="s">
        <v>72</v>
      </c>
      <c r="B19" s="3" t="s">
        <v>34</v>
      </c>
      <c r="C19" s="3" t="s">
        <v>60</v>
      </c>
      <c r="D19" s="3" t="s">
        <v>16</v>
      </c>
      <c r="E19" s="4">
        <v>46037</v>
      </c>
      <c r="F19" s="3">
        <v>49</v>
      </c>
      <c r="G19" s="3">
        <v>4</v>
      </c>
      <c r="H19" s="3">
        <v>473</v>
      </c>
      <c r="I19" s="3" t="s">
        <v>58</v>
      </c>
      <c r="J19" s="3" t="str">
        <f>IFERROR(INDEX(tblRestaurants[RestaurantName],MATCH(B19,tblRestaurants[RestaurantID],0)),"Unknown")</f>
        <v>Bombay Bites</v>
      </c>
      <c r="K19" s="3" t="str">
        <f>IFERROR(INDEX(tblRestaurants[Category],MATCH(B19,tblRestaurants[RestaurantID],0)),"Unknown")</f>
        <v>Dine-in</v>
      </c>
    </row>
    <row r="20" spans="1:11" x14ac:dyDescent="0.3">
      <c r="A20" s="3" t="s">
        <v>73</v>
      </c>
      <c r="B20" s="3" t="s">
        <v>6</v>
      </c>
      <c r="C20" s="3" t="s">
        <v>60</v>
      </c>
      <c r="D20" s="3" t="s">
        <v>23</v>
      </c>
      <c r="E20" s="4">
        <v>46045</v>
      </c>
      <c r="F20" s="3">
        <v>25</v>
      </c>
      <c r="G20" s="3">
        <v>3</v>
      </c>
      <c r="H20" s="3">
        <v>1458</v>
      </c>
      <c r="I20" s="3" t="s">
        <v>58</v>
      </c>
      <c r="J20" s="3" t="str">
        <f>IFERROR(INDEX(tblRestaurants[RestaurantName],MATCH(B20,tblRestaurants[RestaurantID],0)),"Unknown")</f>
        <v>Spice Route</v>
      </c>
      <c r="K20" s="3" t="str">
        <f>IFERROR(INDEX(tblRestaurants[Category],MATCH(B20,tblRestaurants[RestaurantID],0)),"Unknown")</f>
        <v>Cloud Kitchen</v>
      </c>
    </row>
    <row r="21" spans="1:11" x14ac:dyDescent="0.3">
      <c r="A21" s="3" t="s">
        <v>74</v>
      </c>
      <c r="B21" s="3" t="s">
        <v>32</v>
      </c>
      <c r="C21" s="3" t="s">
        <v>75</v>
      </c>
      <c r="D21" s="3" t="s">
        <v>12</v>
      </c>
      <c r="E21" s="4">
        <v>46070</v>
      </c>
      <c r="F21" s="3">
        <v>32</v>
      </c>
      <c r="G21" s="3">
        <v>5</v>
      </c>
      <c r="H21" s="3">
        <v>1744</v>
      </c>
      <c r="I21" s="3" t="s">
        <v>58</v>
      </c>
      <c r="J21" s="3" t="str">
        <f>IFERROR(INDEX(tblRestaurants[RestaurantName],MATCH(B21,tblRestaurants[RestaurantID],0)),"Unknown")</f>
        <v>Dragon Wok</v>
      </c>
      <c r="K21" s="3" t="str">
        <f>IFERROR(INDEX(tblRestaurants[Category],MATCH(B21,tblRestaurants[RestaurantID],0)),"Unknown")</f>
        <v>Cloud Kitchen</v>
      </c>
    </row>
    <row r="22" spans="1:11" x14ac:dyDescent="0.3">
      <c r="A22" s="3" t="s">
        <v>76</v>
      </c>
      <c r="B22" s="3" t="s">
        <v>42</v>
      </c>
      <c r="C22" s="3" t="s">
        <v>56</v>
      </c>
      <c r="D22" s="3" t="s">
        <v>23</v>
      </c>
      <c r="E22" s="4">
        <v>46064</v>
      </c>
      <c r="F22" s="3">
        <v>74</v>
      </c>
      <c r="G22" s="3">
        <v>1</v>
      </c>
      <c r="H22" s="3">
        <v>379</v>
      </c>
      <c r="I22" s="3" t="s">
        <v>53</v>
      </c>
      <c r="J22" s="3" t="str">
        <f>IFERROR(INDEX(tblRestaurants[RestaurantName],MATCH(B22,tblRestaurants[RestaurantID],0)),"Unknown")</f>
        <v>Salsa Nights</v>
      </c>
      <c r="K22" s="3" t="str">
        <f>IFERROR(INDEX(tblRestaurants[Category],MATCH(B22,tblRestaurants[RestaurantID],0)),"Unknown")</f>
        <v>QSR</v>
      </c>
    </row>
    <row r="23" spans="1:11" x14ac:dyDescent="0.3">
      <c r="A23" s="3" t="s">
        <v>77</v>
      </c>
      <c r="B23" s="3" t="s">
        <v>42</v>
      </c>
      <c r="C23" s="3" t="s">
        <v>60</v>
      </c>
      <c r="D23" s="3" t="s">
        <v>12</v>
      </c>
      <c r="E23" s="4">
        <v>46030</v>
      </c>
      <c r="F23" s="3">
        <v>42</v>
      </c>
      <c r="G23" s="3">
        <v>5</v>
      </c>
      <c r="H23" s="3">
        <v>311</v>
      </c>
      <c r="I23" s="3" t="s">
        <v>53</v>
      </c>
      <c r="J23" s="3" t="str">
        <f>IFERROR(INDEX(tblRestaurants[RestaurantName],MATCH(B23,tblRestaurants[RestaurantID],0)),"Unknown")</f>
        <v>Salsa Nights</v>
      </c>
      <c r="K23" s="3" t="str">
        <f>IFERROR(INDEX(tblRestaurants[Category],MATCH(B23,tblRestaurants[RestaurantID],0)),"Unknown")</f>
        <v>QSR</v>
      </c>
    </row>
    <row r="24" spans="1:11" x14ac:dyDescent="0.3">
      <c r="A24" s="3" t="s">
        <v>78</v>
      </c>
      <c r="B24" s="3" t="s">
        <v>36</v>
      </c>
      <c r="C24" s="3" t="s">
        <v>52</v>
      </c>
      <c r="D24" s="3" t="s">
        <v>8</v>
      </c>
      <c r="E24" s="4">
        <v>46091</v>
      </c>
      <c r="F24" s="3">
        <v>28</v>
      </c>
      <c r="G24" s="3">
        <v>2</v>
      </c>
      <c r="H24" s="3">
        <v>1501</v>
      </c>
      <c r="I24" s="3" t="s">
        <v>58</v>
      </c>
      <c r="J24" s="3" t="str">
        <f>IFERROR(INDEX(tblRestaurants[RestaurantName],MATCH(B24,tblRestaurants[RestaurantID],0)),"Unknown")</f>
        <v>La Pasta</v>
      </c>
      <c r="K24" s="3" t="str">
        <f>IFERROR(INDEX(tblRestaurants[Category],MATCH(B24,tblRestaurants[RestaurantID],0)),"Unknown")</f>
        <v>QSR</v>
      </c>
    </row>
    <row r="25" spans="1:11" x14ac:dyDescent="0.3">
      <c r="A25" s="3" t="s">
        <v>79</v>
      </c>
      <c r="B25" s="3" t="s">
        <v>30</v>
      </c>
      <c r="C25" s="3" t="s">
        <v>75</v>
      </c>
      <c r="D25" s="3" t="s">
        <v>16</v>
      </c>
      <c r="E25" s="4">
        <v>46090</v>
      </c>
      <c r="F25" s="3">
        <v>66</v>
      </c>
      <c r="G25" s="3">
        <v>2</v>
      </c>
      <c r="H25" s="3">
        <v>1254</v>
      </c>
      <c r="I25" s="3" t="s">
        <v>53</v>
      </c>
      <c r="J25" s="3" t="str">
        <f>IFERROR(INDEX(tblRestaurants[RestaurantName],MATCH(B25,tblRestaurants[RestaurantID],0)),"Unknown")</f>
        <v>Roma's Kitchen</v>
      </c>
      <c r="K25" s="3" t="str">
        <f>IFERROR(INDEX(tblRestaurants[Category],MATCH(B25,tblRestaurants[RestaurantID],0)),"Unknown")</f>
        <v>QSR</v>
      </c>
    </row>
    <row r="26" spans="1:11" x14ac:dyDescent="0.3">
      <c r="A26" s="3" t="s">
        <v>80</v>
      </c>
      <c r="B26" s="3" t="s">
        <v>36</v>
      </c>
      <c r="C26" s="3" t="s">
        <v>60</v>
      </c>
      <c r="D26" s="3" t="s">
        <v>20</v>
      </c>
      <c r="E26" s="4">
        <v>46108</v>
      </c>
      <c r="F26" s="3">
        <v>59</v>
      </c>
      <c r="G26" s="3">
        <v>4</v>
      </c>
      <c r="H26" s="3">
        <v>1209</v>
      </c>
      <c r="I26" s="3" t="s">
        <v>58</v>
      </c>
      <c r="J26" s="3" t="str">
        <f>IFERROR(INDEX(tblRestaurants[RestaurantName],MATCH(B26,tblRestaurants[RestaurantID],0)),"Unknown")</f>
        <v>La Pasta</v>
      </c>
      <c r="K26" s="3" t="str">
        <f>IFERROR(INDEX(tblRestaurants[Category],MATCH(B26,tblRestaurants[RestaurantID],0)),"Unknown")</f>
        <v>QSR</v>
      </c>
    </row>
    <row r="27" spans="1:11" x14ac:dyDescent="0.3">
      <c r="A27" s="3" t="s">
        <v>81</v>
      </c>
      <c r="B27" s="3" t="s">
        <v>10</v>
      </c>
      <c r="C27" s="3" t="s">
        <v>75</v>
      </c>
      <c r="D27" s="3" t="s">
        <v>12</v>
      </c>
      <c r="E27" s="4">
        <v>46031</v>
      </c>
      <c r="F27" s="3">
        <v>55</v>
      </c>
      <c r="G27" s="3">
        <v>1</v>
      </c>
      <c r="H27" s="3">
        <v>1354</v>
      </c>
      <c r="I27" s="3" t="s">
        <v>58</v>
      </c>
      <c r="J27" s="3" t="str">
        <f>IFERROR(INDEX(tblRestaurants[RestaurantName],MATCH(B27,tblRestaurants[RestaurantID],0)),"Unknown")</f>
        <v>Urban Tadka</v>
      </c>
      <c r="K27" s="3" t="str">
        <f>IFERROR(INDEX(tblRestaurants[Category],MATCH(B27,tblRestaurants[RestaurantID],0)),"Unknown")</f>
        <v>Dine-in</v>
      </c>
    </row>
    <row r="28" spans="1:11" x14ac:dyDescent="0.3">
      <c r="A28" s="3" t="s">
        <v>82</v>
      </c>
      <c r="B28" s="3" t="s">
        <v>18</v>
      </c>
      <c r="C28" s="3" t="s">
        <v>75</v>
      </c>
      <c r="D28" s="3" t="s">
        <v>8</v>
      </c>
      <c r="E28" s="4">
        <v>46032</v>
      </c>
      <c r="F28" s="3">
        <v>19</v>
      </c>
      <c r="G28" s="3">
        <v>2</v>
      </c>
      <c r="H28" s="3">
        <v>288</v>
      </c>
      <c r="I28" s="3" t="s">
        <v>53</v>
      </c>
      <c r="J28" s="3" t="str">
        <f>IFERROR(INDEX(tblRestaurants[RestaurantName],MATCH(B28,tblRestaurants[RestaurantID],0)),"Unknown")</f>
        <v>Taco Fiesta</v>
      </c>
      <c r="K28" s="3" t="str">
        <f>IFERROR(INDEX(tblRestaurants[Category],MATCH(B28,tblRestaurants[RestaurantID],0)),"Unknown")</f>
        <v>Cloud Kitchen</v>
      </c>
    </row>
    <row r="29" spans="1:11" x14ac:dyDescent="0.3">
      <c r="A29" s="3" t="s">
        <v>83</v>
      </c>
      <c r="B29" s="3" t="s">
        <v>40</v>
      </c>
      <c r="C29" s="3" t="s">
        <v>60</v>
      </c>
      <c r="D29" s="3" t="s">
        <v>8</v>
      </c>
      <c r="E29" s="4">
        <v>46088</v>
      </c>
      <c r="F29" s="3">
        <v>42</v>
      </c>
      <c r="G29" s="3">
        <v>3</v>
      </c>
      <c r="H29" s="3">
        <v>1520</v>
      </c>
      <c r="I29" s="3" t="s">
        <v>58</v>
      </c>
      <c r="J29" s="3" t="str">
        <f>IFERROR(INDEX(tblRestaurants[RestaurantName],MATCH(B29,tblRestaurants[RestaurantID],0)),"Unknown")</f>
        <v>Green Chilli</v>
      </c>
      <c r="K29" s="3" t="str">
        <f>IFERROR(INDEX(tblRestaurants[Category],MATCH(B29,tblRestaurants[RestaurantID],0)),"Unknown")</f>
        <v>Dine-in</v>
      </c>
    </row>
    <row r="30" spans="1:11" x14ac:dyDescent="0.3">
      <c r="A30" s="3" t="s">
        <v>84</v>
      </c>
      <c r="B30" s="3" t="s">
        <v>18</v>
      </c>
      <c r="C30" s="3" t="s">
        <v>75</v>
      </c>
      <c r="D30" s="3" t="s">
        <v>23</v>
      </c>
      <c r="E30" s="4">
        <v>46096</v>
      </c>
      <c r="F30" s="3">
        <v>72</v>
      </c>
      <c r="G30" s="3">
        <v>2</v>
      </c>
      <c r="H30" s="3">
        <v>1756</v>
      </c>
      <c r="I30" s="3" t="s">
        <v>58</v>
      </c>
      <c r="J30" s="3" t="str">
        <f>IFERROR(INDEX(tblRestaurants[RestaurantName],MATCH(B30,tblRestaurants[RestaurantID],0)),"Unknown")</f>
        <v>Taco Fiesta</v>
      </c>
      <c r="K30" s="3" t="str">
        <f>IFERROR(INDEX(tblRestaurants[Category],MATCH(B30,tblRestaurants[RestaurantID],0)),"Unknown")</f>
        <v>Cloud Kitchen</v>
      </c>
    </row>
    <row r="31" spans="1:11" x14ac:dyDescent="0.3">
      <c r="A31" s="3" t="s">
        <v>85</v>
      </c>
      <c r="B31" s="3" t="s">
        <v>38</v>
      </c>
      <c r="C31" s="3" t="s">
        <v>52</v>
      </c>
      <c r="D31" s="3" t="s">
        <v>12</v>
      </c>
      <c r="E31" s="4">
        <v>46035</v>
      </c>
      <c r="F31" s="3">
        <v>24</v>
      </c>
      <c r="G31" s="3">
        <v>4</v>
      </c>
      <c r="H31" s="3">
        <v>875</v>
      </c>
      <c r="I31" s="3" t="s">
        <v>53</v>
      </c>
      <c r="J31" s="3" t="str">
        <f>IFERROR(INDEX(tblRestaurants[RestaurantName],MATCH(B31,tblRestaurants[RestaurantID],0)),"Unknown")</f>
        <v>Sizzling Spice</v>
      </c>
      <c r="K31" s="3" t="str">
        <f>IFERROR(INDEX(tblRestaurants[Category],MATCH(B31,tblRestaurants[RestaurantID],0)),"Unknown")</f>
        <v>Cloud Kitchen</v>
      </c>
    </row>
    <row r="32" spans="1:11" x14ac:dyDescent="0.3">
      <c r="A32" s="3" t="s">
        <v>86</v>
      </c>
      <c r="B32" s="3" t="s">
        <v>26</v>
      </c>
      <c r="C32" s="3" t="s">
        <v>52</v>
      </c>
      <c r="D32" s="3" t="s">
        <v>8</v>
      </c>
      <c r="E32" s="4">
        <v>46109</v>
      </c>
      <c r="F32" s="3">
        <v>24</v>
      </c>
      <c r="G32" s="3">
        <v>1</v>
      </c>
      <c r="H32" s="3">
        <v>974</v>
      </c>
      <c r="I32" s="3" t="s">
        <v>53</v>
      </c>
      <c r="J32" s="3" t="str">
        <f>IFERROR(INDEX(tblRestaurants[RestaurantName],MATCH(B32,tblRestaurants[RestaurantID],0)),"Unknown")</f>
        <v>Wok This Way</v>
      </c>
      <c r="K32" s="3" t="str">
        <f>IFERROR(INDEX(tblRestaurants[Category],MATCH(B32,tblRestaurants[RestaurantID],0)),"Unknown")</f>
        <v>Cloud Kitchen</v>
      </c>
    </row>
    <row r="33" spans="1:11" x14ac:dyDescent="0.3">
      <c r="A33" s="3" t="s">
        <v>87</v>
      </c>
      <c r="B33" s="3" t="s">
        <v>38</v>
      </c>
      <c r="C33" s="3" t="s">
        <v>56</v>
      </c>
      <c r="D33" s="3" t="s">
        <v>12</v>
      </c>
      <c r="E33" s="4">
        <v>46047</v>
      </c>
      <c r="F33" s="3">
        <v>36</v>
      </c>
      <c r="G33" s="3">
        <v>5</v>
      </c>
      <c r="H33" s="3">
        <v>1068</v>
      </c>
      <c r="I33" s="3" t="s">
        <v>53</v>
      </c>
      <c r="J33" s="3" t="str">
        <f>IFERROR(INDEX(tblRestaurants[RestaurantName],MATCH(B33,tblRestaurants[RestaurantID],0)),"Unknown")</f>
        <v>Sizzling Spice</v>
      </c>
      <c r="K33" s="3" t="str">
        <f>IFERROR(INDEX(tblRestaurants[Category],MATCH(B33,tblRestaurants[RestaurantID],0)),"Unknown")</f>
        <v>Cloud Kitchen</v>
      </c>
    </row>
    <row r="34" spans="1:11" x14ac:dyDescent="0.3">
      <c r="A34" s="3" t="s">
        <v>88</v>
      </c>
      <c r="B34" s="3" t="s">
        <v>26</v>
      </c>
      <c r="C34" s="3" t="s">
        <v>75</v>
      </c>
      <c r="D34" s="3" t="s">
        <v>16</v>
      </c>
      <c r="E34" s="4">
        <v>46082</v>
      </c>
      <c r="F34" s="3">
        <v>43</v>
      </c>
      <c r="G34" s="3">
        <v>1</v>
      </c>
      <c r="H34" s="3">
        <v>1057</v>
      </c>
      <c r="I34" s="3" t="s">
        <v>58</v>
      </c>
      <c r="J34" s="3" t="str">
        <f>IFERROR(INDEX(tblRestaurants[RestaurantName],MATCH(B34,tblRestaurants[RestaurantID],0)),"Unknown")</f>
        <v>Wok This Way</v>
      </c>
      <c r="K34" s="3" t="str">
        <f>IFERROR(INDEX(tblRestaurants[Category],MATCH(B34,tblRestaurants[RestaurantID],0)),"Unknown")</f>
        <v>Cloud Kitchen</v>
      </c>
    </row>
    <row r="35" spans="1:11" x14ac:dyDescent="0.3">
      <c r="A35" s="3" t="s">
        <v>89</v>
      </c>
      <c r="B35" s="3" t="s">
        <v>10</v>
      </c>
      <c r="C35" s="3" t="s">
        <v>56</v>
      </c>
      <c r="D35" s="3" t="s">
        <v>23</v>
      </c>
      <c r="E35" s="4">
        <v>46024</v>
      </c>
      <c r="F35" s="3">
        <v>23</v>
      </c>
      <c r="G35" s="3">
        <v>2</v>
      </c>
      <c r="H35" s="3">
        <v>490</v>
      </c>
      <c r="I35" s="3" t="s">
        <v>53</v>
      </c>
      <c r="J35" s="3" t="str">
        <f>IFERROR(INDEX(tblRestaurants[RestaurantName],MATCH(B35,tblRestaurants[RestaurantID],0)),"Unknown")</f>
        <v>Urban Tadka</v>
      </c>
      <c r="K35" s="3" t="str">
        <f>IFERROR(INDEX(tblRestaurants[Category],MATCH(B35,tblRestaurants[RestaurantID],0)),"Unknown")</f>
        <v>Dine-in</v>
      </c>
    </row>
    <row r="36" spans="1:11" x14ac:dyDescent="0.3">
      <c r="A36" s="3" t="s">
        <v>90</v>
      </c>
      <c r="B36" s="3" t="s">
        <v>28</v>
      </c>
      <c r="C36" s="3" t="s">
        <v>52</v>
      </c>
      <c r="D36" s="3" t="s">
        <v>12</v>
      </c>
      <c r="E36" s="4">
        <v>46074</v>
      </c>
      <c r="F36" s="3">
        <v>19</v>
      </c>
      <c r="G36" s="3">
        <v>2</v>
      </c>
      <c r="H36" s="3">
        <v>926</v>
      </c>
      <c r="I36" s="3" t="s">
        <v>53</v>
      </c>
      <c r="J36" s="3" t="str">
        <f>IFERROR(INDEX(tblRestaurants[RestaurantName],MATCH(B36,tblRestaurants[RestaurantID],0)),"Unknown")</f>
        <v>El Sombrero</v>
      </c>
      <c r="K36" s="3" t="str">
        <f>IFERROR(INDEX(tblRestaurants[Category],MATCH(B36,tblRestaurants[RestaurantID],0)),"Unknown")</f>
        <v>Dine-in</v>
      </c>
    </row>
    <row r="37" spans="1:11" x14ac:dyDescent="0.3">
      <c r="A37" s="3" t="s">
        <v>91</v>
      </c>
      <c r="B37" s="3" t="s">
        <v>26</v>
      </c>
      <c r="C37" s="3" t="s">
        <v>60</v>
      </c>
      <c r="D37" s="3" t="s">
        <v>20</v>
      </c>
      <c r="E37" s="4">
        <v>46059</v>
      </c>
      <c r="F37" s="3">
        <v>66</v>
      </c>
      <c r="G37" s="3">
        <v>5</v>
      </c>
      <c r="H37" s="3">
        <v>1505</v>
      </c>
      <c r="I37" s="3" t="s">
        <v>58</v>
      </c>
      <c r="J37" s="3" t="str">
        <f>IFERROR(INDEX(tblRestaurants[RestaurantName],MATCH(B37,tblRestaurants[RestaurantID],0)),"Unknown")</f>
        <v>Wok This Way</v>
      </c>
      <c r="K37" s="3" t="str">
        <f>IFERROR(INDEX(tblRestaurants[Category],MATCH(B37,tblRestaurants[RestaurantID],0)),"Unknown")</f>
        <v>Cloud Kitchen</v>
      </c>
    </row>
    <row r="38" spans="1:11" x14ac:dyDescent="0.3">
      <c r="A38" s="3" t="s">
        <v>92</v>
      </c>
      <c r="B38" s="3" t="s">
        <v>14</v>
      </c>
      <c r="C38" s="3" t="s">
        <v>75</v>
      </c>
      <c r="D38" s="3" t="s">
        <v>16</v>
      </c>
      <c r="E38" s="4">
        <v>46050</v>
      </c>
      <c r="F38" s="3">
        <v>19</v>
      </c>
      <c r="G38" s="3">
        <v>5</v>
      </c>
      <c r="H38" s="3">
        <v>1656</v>
      </c>
      <c r="I38" s="3" t="s">
        <v>58</v>
      </c>
      <c r="J38" s="3" t="str">
        <f>IFERROR(INDEX(tblRestaurants[RestaurantName],MATCH(B38,tblRestaurants[RestaurantID],0)),"Unknown")</f>
        <v>Noodle Bar</v>
      </c>
      <c r="K38" s="3" t="str">
        <f>IFERROR(INDEX(tblRestaurants[Category],MATCH(B38,tblRestaurants[RestaurantID],0)),"Unknown")</f>
        <v>QSR</v>
      </c>
    </row>
    <row r="39" spans="1:11" x14ac:dyDescent="0.3">
      <c r="A39" s="3" t="s">
        <v>93</v>
      </c>
      <c r="B39" s="3" t="s">
        <v>6</v>
      </c>
      <c r="C39" s="3" t="s">
        <v>60</v>
      </c>
      <c r="D39" s="3" t="s">
        <v>8</v>
      </c>
      <c r="E39" s="4">
        <v>46029</v>
      </c>
      <c r="F39" s="3">
        <v>73</v>
      </c>
      <c r="G39" s="3">
        <v>5</v>
      </c>
      <c r="H39" s="3">
        <v>1237</v>
      </c>
      <c r="I39" s="3" t="s">
        <v>53</v>
      </c>
      <c r="J39" s="3" t="str">
        <f>IFERROR(INDEX(tblRestaurants[RestaurantName],MATCH(B39,tblRestaurants[RestaurantID],0)),"Unknown")</f>
        <v>Spice Route</v>
      </c>
      <c r="K39" s="3" t="str">
        <f>IFERROR(INDEX(tblRestaurants[Category],MATCH(B39,tblRestaurants[RestaurantID],0)),"Unknown")</f>
        <v>Cloud Kitchen</v>
      </c>
    </row>
    <row r="40" spans="1:11" x14ac:dyDescent="0.3">
      <c r="A40" s="3" t="s">
        <v>94</v>
      </c>
      <c r="B40" s="3" t="s">
        <v>6</v>
      </c>
      <c r="C40" s="3" t="s">
        <v>56</v>
      </c>
      <c r="D40" s="3" t="s">
        <v>12</v>
      </c>
      <c r="E40" s="4">
        <v>46031</v>
      </c>
      <c r="F40" s="3">
        <v>20</v>
      </c>
      <c r="G40" s="3">
        <v>2</v>
      </c>
      <c r="H40" s="3">
        <v>976</v>
      </c>
      <c r="I40" s="3" t="s">
        <v>53</v>
      </c>
      <c r="J40" s="3" t="str">
        <f>IFERROR(INDEX(tblRestaurants[RestaurantName],MATCH(B40,tblRestaurants[RestaurantID],0)),"Unknown")</f>
        <v>Spice Route</v>
      </c>
      <c r="K40" s="3" t="str">
        <f>IFERROR(INDEX(tblRestaurants[Category],MATCH(B40,tblRestaurants[RestaurantID],0)),"Unknown")</f>
        <v>Cloud Kitchen</v>
      </c>
    </row>
    <row r="41" spans="1:11" x14ac:dyDescent="0.3">
      <c r="A41" s="3" t="s">
        <v>95</v>
      </c>
      <c r="B41" s="3" t="s">
        <v>42</v>
      </c>
      <c r="C41" s="3" t="s">
        <v>75</v>
      </c>
      <c r="D41" s="3" t="s">
        <v>23</v>
      </c>
      <c r="E41" s="4">
        <v>46099</v>
      </c>
      <c r="F41" s="3">
        <v>17</v>
      </c>
      <c r="G41" s="3">
        <v>5</v>
      </c>
      <c r="H41" s="3">
        <v>317</v>
      </c>
      <c r="I41" s="3" t="s">
        <v>53</v>
      </c>
      <c r="J41" s="3" t="str">
        <f>IFERROR(INDEX(tblRestaurants[RestaurantName],MATCH(B41,tblRestaurants[RestaurantID],0)),"Unknown")</f>
        <v>Salsa Nights</v>
      </c>
      <c r="K41" s="3" t="str">
        <f>IFERROR(INDEX(tblRestaurants[Category],MATCH(B41,tblRestaurants[RestaurantID],0)),"Unknown")</f>
        <v>QSR</v>
      </c>
    </row>
    <row r="42" spans="1:11" x14ac:dyDescent="0.3">
      <c r="A42" s="3" t="s">
        <v>96</v>
      </c>
      <c r="B42" s="3" t="s">
        <v>34</v>
      </c>
      <c r="C42" s="3" t="s">
        <v>60</v>
      </c>
      <c r="D42" s="3" t="s">
        <v>16</v>
      </c>
      <c r="E42" s="4">
        <v>46049</v>
      </c>
      <c r="F42" s="3">
        <v>52</v>
      </c>
      <c r="G42" s="3">
        <v>2</v>
      </c>
      <c r="H42" s="3">
        <v>693</v>
      </c>
      <c r="I42" s="3" t="s">
        <v>53</v>
      </c>
      <c r="J42" s="3" t="str">
        <f>IFERROR(INDEX(tblRestaurants[RestaurantName],MATCH(B42,tblRestaurants[RestaurantID],0)),"Unknown")</f>
        <v>Bombay Bites</v>
      </c>
      <c r="K42" s="3" t="str">
        <f>IFERROR(INDEX(tblRestaurants[Category],MATCH(B42,tblRestaurants[RestaurantID],0)),"Unknown")</f>
        <v>Dine-in</v>
      </c>
    </row>
    <row r="43" spans="1:11" x14ac:dyDescent="0.3">
      <c r="A43" s="3" t="s">
        <v>97</v>
      </c>
      <c r="B43" s="3" t="s">
        <v>14</v>
      </c>
      <c r="C43" s="3" t="s">
        <v>60</v>
      </c>
      <c r="D43" s="3" t="s">
        <v>20</v>
      </c>
      <c r="E43" s="4">
        <v>46063</v>
      </c>
      <c r="F43" s="3">
        <v>21</v>
      </c>
      <c r="G43" s="3">
        <v>1</v>
      </c>
      <c r="H43" s="3">
        <v>1088</v>
      </c>
      <c r="I43" s="3" t="s">
        <v>66</v>
      </c>
      <c r="J43" s="3" t="str">
        <f>IFERROR(INDEX(tblRestaurants[RestaurantName],MATCH(B43,tblRestaurants[RestaurantID],0)),"Unknown")</f>
        <v>Noodle Bar</v>
      </c>
      <c r="K43" s="3" t="str">
        <f>IFERROR(INDEX(tblRestaurants[Category],MATCH(B43,tblRestaurants[RestaurantID],0)),"Unknown")</f>
        <v>QSR</v>
      </c>
    </row>
    <row r="44" spans="1:11" x14ac:dyDescent="0.3">
      <c r="A44" s="3" t="s">
        <v>98</v>
      </c>
      <c r="B44" s="3" t="s">
        <v>32</v>
      </c>
      <c r="C44" s="3" t="s">
        <v>56</v>
      </c>
      <c r="D44" s="3" t="s">
        <v>8</v>
      </c>
      <c r="E44" s="4">
        <v>46091</v>
      </c>
      <c r="F44" s="3">
        <v>39</v>
      </c>
      <c r="G44" s="3">
        <v>5</v>
      </c>
      <c r="H44" s="3">
        <v>693</v>
      </c>
      <c r="I44" s="3" t="s">
        <v>53</v>
      </c>
      <c r="J44" s="3" t="str">
        <f>IFERROR(INDEX(tblRestaurants[RestaurantName],MATCH(B44,tblRestaurants[RestaurantID],0)),"Unknown")</f>
        <v>Dragon Wok</v>
      </c>
      <c r="K44" s="3" t="str">
        <f>IFERROR(INDEX(tblRestaurants[Category],MATCH(B44,tblRestaurants[RestaurantID],0)),"Unknown")</f>
        <v>Cloud Kitchen</v>
      </c>
    </row>
    <row r="45" spans="1:11" x14ac:dyDescent="0.3">
      <c r="A45" s="3" t="s">
        <v>99</v>
      </c>
      <c r="B45" s="3" t="s">
        <v>42</v>
      </c>
      <c r="C45" s="3" t="s">
        <v>60</v>
      </c>
      <c r="D45" s="3" t="s">
        <v>8</v>
      </c>
      <c r="E45" s="4">
        <v>46054</v>
      </c>
      <c r="F45" s="3">
        <v>59</v>
      </c>
      <c r="G45" s="3">
        <v>3</v>
      </c>
      <c r="H45" s="3">
        <v>473</v>
      </c>
      <c r="I45" s="3" t="s">
        <v>58</v>
      </c>
      <c r="J45" s="3" t="str">
        <f>IFERROR(INDEX(tblRestaurants[RestaurantName],MATCH(B45,tblRestaurants[RestaurantID],0)),"Unknown")</f>
        <v>Salsa Nights</v>
      </c>
      <c r="K45" s="3" t="str">
        <f>IFERROR(INDEX(tblRestaurants[Category],MATCH(B45,tblRestaurants[RestaurantID],0)),"Unknown")</f>
        <v>QSR</v>
      </c>
    </row>
    <row r="46" spans="1:11" x14ac:dyDescent="0.3">
      <c r="A46" s="3" t="s">
        <v>100</v>
      </c>
      <c r="B46" s="3" t="s">
        <v>40</v>
      </c>
      <c r="C46" s="3" t="s">
        <v>60</v>
      </c>
      <c r="D46" s="3" t="s">
        <v>23</v>
      </c>
      <c r="E46" s="4">
        <v>46106</v>
      </c>
      <c r="F46" s="3">
        <v>13</v>
      </c>
      <c r="G46" s="3">
        <v>5</v>
      </c>
      <c r="H46" s="3">
        <v>763</v>
      </c>
      <c r="I46" s="3" t="s">
        <v>53</v>
      </c>
      <c r="J46" s="3" t="str">
        <f>IFERROR(INDEX(tblRestaurants[RestaurantName],MATCH(B46,tblRestaurants[RestaurantID],0)),"Unknown")</f>
        <v>Green Chilli</v>
      </c>
      <c r="K46" s="3" t="str">
        <f>IFERROR(INDEX(tblRestaurants[Category],MATCH(B46,tblRestaurants[RestaurantID],0)),"Unknown")</f>
        <v>Dine-in</v>
      </c>
    </row>
    <row r="47" spans="1:11" x14ac:dyDescent="0.3">
      <c r="A47" s="3" t="s">
        <v>101</v>
      </c>
      <c r="B47" s="3" t="s">
        <v>42</v>
      </c>
      <c r="C47" s="3" t="s">
        <v>75</v>
      </c>
      <c r="D47" s="3" t="s">
        <v>16</v>
      </c>
      <c r="E47" s="4">
        <v>46037</v>
      </c>
      <c r="F47" s="3">
        <v>25</v>
      </c>
      <c r="G47" s="3">
        <v>5</v>
      </c>
      <c r="H47" s="3">
        <v>468</v>
      </c>
      <c r="I47" s="3" t="s">
        <v>53</v>
      </c>
      <c r="J47" s="3" t="str">
        <f>IFERROR(INDEX(tblRestaurants[RestaurantName],MATCH(B47,tblRestaurants[RestaurantID],0)),"Unknown")</f>
        <v>Salsa Nights</v>
      </c>
      <c r="K47" s="3" t="str">
        <f>IFERROR(INDEX(tblRestaurants[Category],MATCH(B47,tblRestaurants[RestaurantID],0)),"Unknown")</f>
        <v>QSR</v>
      </c>
    </row>
    <row r="48" spans="1:11" x14ac:dyDescent="0.3">
      <c r="A48" s="3" t="s">
        <v>102</v>
      </c>
      <c r="B48" s="3" t="s">
        <v>21</v>
      </c>
      <c r="C48" s="3" t="s">
        <v>75</v>
      </c>
      <c r="D48" s="3" t="s">
        <v>16</v>
      </c>
      <c r="E48" s="4">
        <v>46049</v>
      </c>
      <c r="F48" s="3">
        <v>45</v>
      </c>
      <c r="G48" s="3">
        <v>5</v>
      </c>
      <c r="H48" s="3">
        <v>1150</v>
      </c>
      <c r="I48" s="3" t="s">
        <v>53</v>
      </c>
      <c r="J48" s="3" t="str">
        <f>IFERROR(INDEX(tblRestaurants[RestaurantName],MATCH(B48,tblRestaurants[RestaurantID],0)),"Unknown")</f>
        <v>Pizza Corner</v>
      </c>
      <c r="K48" s="3" t="str">
        <f>IFERROR(INDEX(tblRestaurants[Category],MATCH(B48,tblRestaurants[RestaurantID],0)),"Unknown")</f>
        <v>Dine-in</v>
      </c>
    </row>
    <row r="49" spans="1:11" x14ac:dyDescent="0.3">
      <c r="A49" s="3" t="s">
        <v>103</v>
      </c>
      <c r="B49" s="3" t="s">
        <v>42</v>
      </c>
      <c r="C49" s="3" t="s">
        <v>56</v>
      </c>
      <c r="D49" s="3" t="s">
        <v>8</v>
      </c>
      <c r="E49" s="4">
        <v>46104</v>
      </c>
      <c r="F49" s="3">
        <v>66</v>
      </c>
      <c r="G49" s="3">
        <v>3</v>
      </c>
      <c r="H49" s="3">
        <v>240</v>
      </c>
      <c r="I49" s="3" t="s">
        <v>53</v>
      </c>
      <c r="J49" s="3" t="str">
        <f>IFERROR(INDEX(tblRestaurants[RestaurantName],MATCH(B49,tblRestaurants[RestaurantID],0)),"Unknown")</f>
        <v>Salsa Nights</v>
      </c>
      <c r="K49" s="3" t="str">
        <f>IFERROR(INDEX(tblRestaurants[Category],MATCH(B49,tblRestaurants[RestaurantID],0)),"Unknown")</f>
        <v>QSR</v>
      </c>
    </row>
    <row r="50" spans="1:11" x14ac:dyDescent="0.3">
      <c r="A50" s="3" t="s">
        <v>104</v>
      </c>
      <c r="B50" s="3" t="s">
        <v>24</v>
      </c>
      <c r="C50" s="3" t="s">
        <v>75</v>
      </c>
      <c r="D50" s="3" t="s">
        <v>16</v>
      </c>
      <c r="E50" s="4">
        <v>46043</v>
      </c>
      <c r="F50" s="3">
        <v>68</v>
      </c>
      <c r="G50" s="3">
        <v>5</v>
      </c>
      <c r="H50" s="3">
        <v>1595</v>
      </c>
      <c r="I50" s="3" t="s">
        <v>53</v>
      </c>
      <c r="J50" s="3" t="str">
        <f>IFERROR(INDEX(tblRestaurants[RestaurantName],MATCH(B50,tblRestaurants[RestaurantID],0)),"Unknown")</f>
        <v>Curry House</v>
      </c>
      <c r="K50" s="3" t="str">
        <f>IFERROR(INDEX(tblRestaurants[Category],MATCH(B50,tblRestaurants[RestaurantID],0)),"Unknown")</f>
        <v>QSR</v>
      </c>
    </row>
    <row r="51" spans="1:11" x14ac:dyDescent="0.3">
      <c r="A51" s="3" t="s">
        <v>105</v>
      </c>
      <c r="B51" s="3" t="s">
        <v>30</v>
      </c>
      <c r="C51" s="3" t="s">
        <v>56</v>
      </c>
      <c r="D51" s="3" t="s">
        <v>8</v>
      </c>
      <c r="E51" s="4">
        <v>46032</v>
      </c>
      <c r="F51" s="3">
        <v>31</v>
      </c>
      <c r="G51" s="3">
        <v>5</v>
      </c>
      <c r="H51" s="3">
        <v>223</v>
      </c>
      <c r="I51" s="3" t="s">
        <v>53</v>
      </c>
      <c r="J51" s="3" t="str">
        <f>IFERROR(INDEX(tblRestaurants[RestaurantName],MATCH(B51,tblRestaurants[RestaurantID],0)),"Unknown")</f>
        <v>Roma's Kitchen</v>
      </c>
      <c r="K51" s="3" t="str">
        <f>IFERROR(INDEX(tblRestaurants[Category],MATCH(B51,tblRestaurants[RestaurantID],0)),"Unknown")</f>
        <v>QSR</v>
      </c>
    </row>
    <row r="52" spans="1:11" x14ac:dyDescent="0.3">
      <c r="A52" s="3" t="s">
        <v>106</v>
      </c>
      <c r="B52" s="3" t="s">
        <v>32</v>
      </c>
      <c r="C52" s="3" t="s">
        <v>75</v>
      </c>
      <c r="D52" s="3" t="s">
        <v>20</v>
      </c>
      <c r="E52" s="4">
        <v>46039</v>
      </c>
      <c r="F52" s="3">
        <v>17</v>
      </c>
      <c r="G52" s="3">
        <v>3</v>
      </c>
      <c r="H52" s="3">
        <v>896</v>
      </c>
      <c r="I52" s="3" t="s">
        <v>53</v>
      </c>
      <c r="J52" s="3" t="str">
        <f>IFERROR(INDEX(tblRestaurants[RestaurantName],MATCH(B52,tblRestaurants[RestaurantID],0)),"Unknown")</f>
        <v>Dragon Wok</v>
      </c>
      <c r="K52" s="3" t="str">
        <f>IFERROR(INDEX(tblRestaurants[Category],MATCH(B52,tblRestaurants[RestaurantID],0)),"Unknown")</f>
        <v>Cloud Kitchen</v>
      </c>
    </row>
    <row r="53" spans="1:11" x14ac:dyDescent="0.3">
      <c r="A53" s="3" t="s">
        <v>107</v>
      </c>
      <c r="B53" s="3" t="s">
        <v>42</v>
      </c>
      <c r="C53" s="3" t="s">
        <v>60</v>
      </c>
      <c r="D53" s="3" t="s">
        <v>12</v>
      </c>
      <c r="E53" s="4">
        <v>46110</v>
      </c>
      <c r="F53" s="3">
        <v>43</v>
      </c>
      <c r="G53" s="3">
        <v>1</v>
      </c>
      <c r="H53" s="3">
        <v>874</v>
      </c>
      <c r="I53" s="3" t="s">
        <v>58</v>
      </c>
      <c r="J53" s="3" t="str">
        <f>IFERROR(INDEX(tblRestaurants[RestaurantName],MATCH(B53,tblRestaurants[RestaurantID],0)),"Unknown")</f>
        <v>Salsa Nights</v>
      </c>
      <c r="K53" s="3" t="str">
        <f>IFERROR(INDEX(tblRestaurants[Category],MATCH(B53,tblRestaurants[RestaurantID],0)),"Unknown")</f>
        <v>QSR</v>
      </c>
    </row>
    <row r="54" spans="1:11" x14ac:dyDescent="0.3">
      <c r="A54" s="3" t="s">
        <v>108</v>
      </c>
      <c r="B54" s="3" t="s">
        <v>42</v>
      </c>
      <c r="C54" s="3" t="s">
        <v>52</v>
      </c>
      <c r="D54" s="3" t="s">
        <v>23</v>
      </c>
      <c r="E54" s="4">
        <v>46042</v>
      </c>
      <c r="F54" s="3">
        <v>42</v>
      </c>
      <c r="G54" s="3">
        <v>2</v>
      </c>
      <c r="H54" s="3">
        <v>1788</v>
      </c>
      <c r="I54" s="3" t="s">
        <v>53</v>
      </c>
      <c r="J54" s="3" t="str">
        <f>IFERROR(INDEX(tblRestaurants[RestaurantName],MATCH(B54,tblRestaurants[RestaurantID],0)),"Unknown")</f>
        <v>Salsa Nights</v>
      </c>
      <c r="K54" s="3" t="str">
        <f>IFERROR(INDEX(tblRestaurants[Category],MATCH(B54,tblRestaurants[RestaurantID],0)),"Unknown")</f>
        <v>QSR</v>
      </c>
    </row>
    <row r="55" spans="1:11" x14ac:dyDescent="0.3">
      <c r="A55" s="3" t="s">
        <v>109</v>
      </c>
      <c r="B55" s="3" t="s">
        <v>42</v>
      </c>
      <c r="C55" s="3" t="s">
        <v>52</v>
      </c>
      <c r="D55" s="3" t="s">
        <v>8</v>
      </c>
      <c r="E55" s="4">
        <v>46045</v>
      </c>
      <c r="F55" s="3">
        <v>54</v>
      </c>
      <c r="G55" s="3">
        <v>4</v>
      </c>
      <c r="H55" s="3">
        <v>1792</v>
      </c>
      <c r="I55" s="3" t="s">
        <v>53</v>
      </c>
      <c r="J55" s="3" t="str">
        <f>IFERROR(INDEX(tblRestaurants[RestaurantName],MATCH(B55,tblRestaurants[RestaurantID],0)),"Unknown")</f>
        <v>Salsa Nights</v>
      </c>
      <c r="K55" s="3" t="str">
        <f>IFERROR(INDEX(tblRestaurants[Category],MATCH(B55,tblRestaurants[RestaurantID],0)),"Unknown")</f>
        <v>QSR</v>
      </c>
    </row>
    <row r="56" spans="1:11" x14ac:dyDescent="0.3">
      <c r="A56" s="3" t="s">
        <v>110</v>
      </c>
      <c r="B56" s="3" t="s">
        <v>21</v>
      </c>
      <c r="C56" s="3" t="s">
        <v>75</v>
      </c>
      <c r="D56" s="3" t="s">
        <v>8</v>
      </c>
      <c r="E56" s="4">
        <v>46071</v>
      </c>
      <c r="F56" s="3">
        <v>16</v>
      </c>
      <c r="G56" s="3">
        <v>4</v>
      </c>
      <c r="H56" s="3">
        <v>605</v>
      </c>
      <c r="I56" s="3" t="s">
        <v>53</v>
      </c>
      <c r="J56" s="3" t="str">
        <f>IFERROR(INDEX(tblRestaurants[RestaurantName],MATCH(B56,tblRestaurants[RestaurantID],0)),"Unknown")</f>
        <v>Pizza Corner</v>
      </c>
      <c r="K56" s="3" t="str">
        <f>IFERROR(INDEX(tblRestaurants[Category],MATCH(B56,tblRestaurants[RestaurantID],0)),"Unknown")</f>
        <v>Dine-in</v>
      </c>
    </row>
    <row r="57" spans="1:11" x14ac:dyDescent="0.3">
      <c r="A57" s="3" t="s">
        <v>111</v>
      </c>
      <c r="B57" s="3" t="s">
        <v>40</v>
      </c>
      <c r="C57" s="3" t="s">
        <v>52</v>
      </c>
      <c r="D57" s="3" t="s">
        <v>16</v>
      </c>
      <c r="E57" s="4">
        <v>46062</v>
      </c>
      <c r="F57" s="3">
        <v>41</v>
      </c>
      <c r="G57" s="3">
        <v>2</v>
      </c>
      <c r="H57" s="3">
        <v>198</v>
      </c>
      <c r="I57" s="3" t="s">
        <v>53</v>
      </c>
      <c r="J57" s="3" t="str">
        <f>IFERROR(INDEX(tblRestaurants[RestaurantName],MATCH(B57,tblRestaurants[RestaurantID],0)),"Unknown")</f>
        <v>Green Chilli</v>
      </c>
      <c r="K57" s="3" t="str">
        <f>IFERROR(INDEX(tblRestaurants[Category],MATCH(B57,tblRestaurants[RestaurantID],0)),"Unknown")</f>
        <v>Dine-in</v>
      </c>
    </row>
    <row r="58" spans="1:11" x14ac:dyDescent="0.3">
      <c r="A58" s="3" t="s">
        <v>112</v>
      </c>
      <c r="B58" s="3" t="s">
        <v>26</v>
      </c>
      <c r="C58" s="3" t="s">
        <v>60</v>
      </c>
      <c r="D58" s="3" t="s">
        <v>16</v>
      </c>
      <c r="E58" s="4">
        <v>46031</v>
      </c>
      <c r="F58" s="3">
        <v>47</v>
      </c>
      <c r="G58" s="3">
        <v>3</v>
      </c>
      <c r="H58" s="3">
        <v>1463</v>
      </c>
      <c r="I58" s="3" t="s">
        <v>58</v>
      </c>
      <c r="J58" s="3" t="str">
        <f>IFERROR(INDEX(tblRestaurants[RestaurantName],MATCH(B58,tblRestaurants[RestaurantID],0)),"Unknown")</f>
        <v>Wok This Way</v>
      </c>
      <c r="K58" s="3" t="str">
        <f>IFERROR(INDEX(tblRestaurants[Category],MATCH(B58,tblRestaurants[RestaurantID],0)),"Unknown")</f>
        <v>Cloud Kitchen</v>
      </c>
    </row>
    <row r="59" spans="1:11" x14ac:dyDescent="0.3">
      <c r="A59" s="3" t="s">
        <v>113</v>
      </c>
      <c r="B59" s="3" t="s">
        <v>26</v>
      </c>
      <c r="C59" s="3" t="s">
        <v>60</v>
      </c>
      <c r="D59" s="3" t="s">
        <v>8</v>
      </c>
      <c r="E59" s="4">
        <v>46037</v>
      </c>
      <c r="F59" s="3">
        <v>45</v>
      </c>
      <c r="G59" s="3">
        <v>2</v>
      </c>
      <c r="H59" s="3">
        <v>1339</v>
      </c>
      <c r="I59" s="3" t="s">
        <v>53</v>
      </c>
      <c r="J59" s="3" t="str">
        <f>IFERROR(INDEX(tblRestaurants[RestaurantName],MATCH(B59,tblRestaurants[RestaurantID],0)),"Unknown")</f>
        <v>Wok This Way</v>
      </c>
      <c r="K59" s="3" t="str">
        <f>IFERROR(INDEX(tblRestaurants[Category],MATCH(B59,tblRestaurants[RestaurantID],0)),"Unknown")</f>
        <v>Cloud Kitchen</v>
      </c>
    </row>
    <row r="60" spans="1:11" x14ac:dyDescent="0.3">
      <c r="A60" s="3" t="s">
        <v>114</v>
      </c>
      <c r="B60" s="3" t="s">
        <v>6</v>
      </c>
      <c r="C60" s="3" t="s">
        <v>56</v>
      </c>
      <c r="D60" s="3" t="s">
        <v>23</v>
      </c>
      <c r="E60" s="4">
        <v>46078</v>
      </c>
      <c r="F60" s="3">
        <v>56</v>
      </c>
      <c r="G60" s="3">
        <v>3</v>
      </c>
      <c r="H60" s="3">
        <v>1043</v>
      </c>
      <c r="I60" s="3" t="s">
        <v>66</v>
      </c>
      <c r="J60" s="3" t="str">
        <f>IFERROR(INDEX(tblRestaurants[RestaurantName],MATCH(B60,tblRestaurants[RestaurantID],0)),"Unknown")</f>
        <v>Spice Route</v>
      </c>
      <c r="K60" s="3" t="str">
        <f>IFERROR(INDEX(tblRestaurants[Category],MATCH(B60,tblRestaurants[RestaurantID],0)),"Unknown")</f>
        <v>Cloud Kitchen</v>
      </c>
    </row>
    <row r="61" spans="1:11" x14ac:dyDescent="0.3">
      <c r="A61" s="3" t="s">
        <v>115</v>
      </c>
      <c r="B61" s="3" t="s">
        <v>30</v>
      </c>
      <c r="C61" s="3" t="s">
        <v>56</v>
      </c>
      <c r="D61" s="3" t="s">
        <v>20</v>
      </c>
      <c r="E61" s="4">
        <v>46096</v>
      </c>
      <c r="F61" s="3">
        <v>36</v>
      </c>
      <c r="G61" s="3">
        <v>3</v>
      </c>
      <c r="H61" s="3">
        <v>240</v>
      </c>
      <c r="I61" s="3" t="s">
        <v>53</v>
      </c>
      <c r="J61" s="3" t="str">
        <f>IFERROR(INDEX(tblRestaurants[RestaurantName],MATCH(B61,tblRestaurants[RestaurantID],0)),"Unknown")</f>
        <v>Roma's Kitchen</v>
      </c>
      <c r="K61" s="3" t="str">
        <f>IFERROR(INDEX(tblRestaurants[Category],MATCH(B61,tblRestaurants[RestaurantID],0)),"Unknown")</f>
        <v>QSR</v>
      </c>
    </row>
    <row r="62" spans="1:11" x14ac:dyDescent="0.3">
      <c r="A62" s="3" t="s">
        <v>116</v>
      </c>
      <c r="B62" s="3" t="s">
        <v>6</v>
      </c>
      <c r="C62" s="3" t="s">
        <v>75</v>
      </c>
      <c r="D62" s="3" t="s">
        <v>16</v>
      </c>
      <c r="E62" s="4">
        <v>46078</v>
      </c>
      <c r="F62" s="3">
        <v>20</v>
      </c>
      <c r="G62" s="3">
        <v>3</v>
      </c>
      <c r="H62" s="3">
        <v>1426</v>
      </c>
      <c r="I62" s="3" t="s">
        <v>53</v>
      </c>
      <c r="J62" s="3" t="str">
        <f>IFERROR(INDEX(tblRestaurants[RestaurantName],MATCH(B62,tblRestaurants[RestaurantID],0)),"Unknown")</f>
        <v>Spice Route</v>
      </c>
      <c r="K62" s="3" t="str">
        <f>IFERROR(INDEX(tblRestaurants[Category],MATCH(B62,tblRestaurants[RestaurantID],0)),"Unknown")</f>
        <v>Cloud Kitchen</v>
      </c>
    </row>
    <row r="63" spans="1:11" x14ac:dyDescent="0.3">
      <c r="A63" s="3" t="s">
        <v>117</v>
      </c>
      <c r="B63" s="3" t="s">
        <v>34</v>
      </c>
      <c r="C63" s="3" t="s">
        <v>56</v>
      </c>
      <c r="D63" s="3" t="s">
        <v>16</v>
      </c>
      <c r="E63" s="4">
        <v>46087</v>
      </c>
      <c r="F63" s="3">
        <v>51</v>
      </c>
      <c r="G63" s="3">
        <v>4</v>
      </c>
      <c r="H63" s="3">
        <v>818</v>
      </c>
      <c r="I63" s="3" t="s">
        <v>53</v>
      </c>
      <c r="J63" s="3" t="str">
        <f>IFERROR(INDEX(tblRestaurants[RestaurantName],MATCH(B63,tblRestaurants[RestaurantID],0)),"Unknown")</f>
        <v>Bombay Bites</v>
      </c>
      <c r="K63" s="3" t="str">
        <f>IFERROR(INDEX(tblRestaurants[Category],MATCH(B63,tblRestaurants[RestaurantID],0)),"Unknown")</f>
        <v>Dine-in</v>
      </c>
    </row>
    <row r="64" spans="1:11" x14ac:dyDescent="0.3">
      <c r="A64" s="3" t="s">
        <v>118</v>
      </c>
      <c r="B64" s="3" t="s">
        <v>36</v>
      </c>
      <c r="C64" s="3" t="s">
        <v>60</v>
      </c>
      <c r="D64" s="3" t="s">
        <v>23</v>
      </c>
      <c r="E64" s="4">
        <v>46039</v>
      </c>
      <c r="F64" s="3">
        <v>36</v>
      </c>
      <c r="G64" s="3">
        <v>4</v>
      </c>
      <c r="H64" s="3">
        <v>1511</v>
      </c>
      <c r="I64" s="3" t="s">
        <v>53</v>
      </c>
      <c r="J64" s="3" t="str">
        <f>IFERROR(INDEX(tblRestaurants[RestaurantName],MATCH(B64,tblRestaurants[RestaurantID],0)),"Unknown")</f>
        <v>La Pasta</v>
      </c>
      <c r="K64" s="3" t="str">
        <f>IFERROR(INDEX(tblRestaurants[Category],MATCH(B64,tblRestaurants[RestaurantID],0)),"Unknown")</f>
        <v>QSR</v>
      </c>
    </row>
    <row r="65" spans="1:11" x14ac:dyDescent="0.3">
      <c r="A65" s="3" t="s">
        <v>119</v>
      </c>
      <c r="B65" s="3" t="s">
        <v>34</v>
      </c>
      <c r="C65" s="3" t="s">
        <v>75</v>
      </c>
      <c r="D65" s="3" t="s">
        <v>23</v>
      </c>
      <c r="E65" s="4">
        <v>46095</v>
      </c>
      <c r="F65" s="3">
        <v>50</v>
      </c>
      <c r="G65" s="3">
        <v>4</v>
      </c>
      <c r="H65" s="3">
        <v>1272</v>
      </c>
      <c r="I65" s="3" t="s">
        <v>53</v>
      </c>
      <c r="J65" s="3" t="str">
        <f>IFERROR(INDEX(tblRestaurants[RestaurantName],MATCH(B65,tblRestaurants[RestaurantID],0)),"Unknown")</f>
        <v>Bombay Bites</v>
      </c>
      <c r="K65" s="3" t="str">
        <f>IFERROR(INDEX(tblRestaurants[Category],MATCH(B65,tblRestaurants[RestaurantID],0)),"Unknown")</f>
        <v>Dine-in</v>
      </c>
    </row>
    <row r="66" spans="1:11" x14ac:dyDescent="0.3">
      <c r="A66" s="3" t="s">
        <v>120</v>
      </c>
      <c r="B66" s="3" t="s">
        <v>21</v>
      </c>
      <c r="C66" s="3" t="s">
        <v>60</v>
      </c>
      <c r="D66" s="3" t="s">
        <v>12</v>
      </c>
      <c r="E66" s="4">
        <v>46078</v>
      </c>
      <c r="F66" s="3">
        <v>53</v>
      </c>
      <c r="G66" s="3">
        <v>4</v>
      </c>
      <c r="H66" s="3">
        <v>1054</v>
      </c>
      <c r="I66" s="3" t="s">
        <v>58</v>
      </c>
      <c r="J66" s="3" t="str">
        <f>IFERROR(INDEX(tblRestaurants[RestaurantName],MATCH(B66,tblRestaurants[RestaurantID],0)),"Unknown")</f>
        <v>Pizza Corner</v>
      </c>
      <c r="K66" s="3" t="str">
        <f>IFERROR(INDEX(tblRestaurants[Category],MATCH(B66,tblRestaurants[RestaurantID],0)),"Unknown")</f>
        <v>Dine-in</v>
      </c>
    </row>
    <row r="67" spans="1:11" x14ac:dyDescent="0.3">
      <c r="A67" s="3" t="s">
        <v>121</v>
      </c>
      <c r="B67" s="3" t="s">
        <v>34</v>
      </c>
      <c r="C67" s="3" t="s">
        <v>75</v>
      </c>
      <c r="D67" s="3" t="s">
        <v>23</v>
      </c>
      <c r="E67" s="4">
        <v>46083</v>
      </c>
      <c r="F67" s="3">
        <v>33</v>
      </c>
      <c r="G67" s="3">
        <v>1</v>
      </c>
      <c r="H67" s="3">
        <v>731</v>
      </c>
      <c r="I67" s="3" t="s">
        <v>58</v>
      </c>
      <c r="J67" s="3" t="str">
        <f>IFERROR(INDEX(tblRestaurants[RestaurantName],MATCH(B67,tblRestaurants[RestaurantID],0)),"Unknown")</f>
        <v>Bombay Bites</v>
      </c>
      <c r="K67" s="3" t="str">
        <f>IFERROR(INDEX(tblRestaurants[Category],MATCH(B67,tblRestaurants[RestaurantID],0)),"Unknown")</f>
        <v>Dine-in</v>
      </c>
    </row>
    <row r="68" spans="1:11" x14ac:dyDescent="0.3">
      <c r="A68" s="3" t="s">
        <v>122</v>
      </c>
      <c r="B68" s="3" t="s">
        <v>34</v>
      </c>
      <c r="C68" s="3" t="s">
        <v>60</v>
      </c>
      <c r="D68" s="3" t="s">
        <v>8</v>
      </c>
      <c r="E68" s="4">
        <v>46053</v>
      </c>
      <c r="F68" s="3">
        <v>51</v>
      </c>
      <c r="G68" s="3">
        <v>2</v>
      </c>
      <c r="H68" s="3">
        <v>557</v>
      </c>
      <c r="I68" s="3" t="s">
        <v>53</v>
      </c>
      <c r="J68" s="3" t="str">
        <f>IFERROR(INDEX(tblRestaurants[RestaurantName],MATCH(B68,tblRestaurants[RestaurantID],0)),"Unknown")</f>
        <v>Bombay Bites</v>
      </c>
      <c r="K68" s="3" t="str">
        <f>IFERROR(INDEX(tblRestaurants[Category],MATCH(B68,tblRestaurants[RestaurantID],0)),"Unknown")</f>
        <v>Dine-in</v>
      </c>
    </row>
    <row r="69" spans="1:11" x14ac:dyDescent="0.3">
      <c r="A69" s="3" t="s">
        <v>123</v>
      </c>
      <c r="B69" s="3" t="s">
        <v>6</v>
      </c>
      <c r="C69" s="3" t="s">
        <v>56</v>
      </c>
      <c r="D69" s="3" t="s">
        <v>12</v>
      </c>
      <c r="E69" s="4">
        <v>46083</v>
      </c>
      <c r="F69" s="3">
        <v>21</v>
      </c>
      <c r="G69" s="3">
        <v>4</v>
      </c>
      <c r="H69" s="3">
        <v>998</v>
      </c>
      <c r="I69" s="3" t="s">
        <v>66</v>
      </c>
      <c r="J69" s="3" t="str">
        <f>IFERROR(INDEX(tblRestaurants[RestaurantName],MATCH(B69,tblRestaurants[RestaurantID],0)),"Unknown")</f>
        <v>Spice Route</v>
      </c>
      <c r="K69" s="3" t="str">
        <f>IFERROR(INDEX(tblRestaurants[Category],MATCH(B69,tblRestaurants[RestaurantID],0)),"Unknown")</f>
        <v>Cloud Kitchen</v>
      </c>
    </row>
    <row r="70" spans="1:11" x14ac:dyDescent="0.3">
      <c r="A70" s="3" t="s">
        <v>124</v>
      </c>
      <c r="B70" s="3" t="s">
        <v>18</v>
      </c>
      <c r="C70" s="3" t="s">
        <v>52</v>
      </c>
      <c r="D70" s="3" t="s">
        <v>20</v>
      </c>
      <c r="E70" s="4">
        <v>46074</v>
      </c>
      <c r="F70" s="3">
        <v>43</v>
      </c>
      <c r="G70" s="3">
        <v>2</v>
      </c>
      <c r="H70" s="3">
        <v>1493</v>
      </c>
      <c r="I70" s="3" t="s">
        <v>53</v>
      </c>
      <c r="J70" s="3" t="str">
        <f>IFERROR(INDEX(tblRestaurants[RestaurantName],MATCH(B70,tblRestaurants[RestaurantID],0)),"Unknown")</f>
        <v>Taco Fiesta</v>
      </c>
      <c r="K70" s="3" t="str">
        <f>IFERROR(INDEX(tblRestaurants[Category],MATCH(B70,tblRestaurants[RestaurantID],0)),"Unknown")</f>
        <v>Cloud Kitchen</v>
      </c>
    </row>
    <row r="71" spans="1:11" x14ac:dyDescent="0.3">
      <c r="A71" s="3" t="s">
        <v>125</v>
      </c>
      <c r="B71" s="3" t="s">
        <v>42</v>
      </c>
      <c r="C71" s="3" t="s">
        <v>56</v>
      </c>
      <c r="D71" s="3" t="s">
        <v>20</v>
      </c>
      <c r="E71" s="4">
        <v>46051</v>
      </c>
      <c r="F71" s="3">
        <v>34</v>
      </c>
      <c r="G71" s="3">
        <v>5</v>
      </c>
      <c r="H71" s="3">
        <v>1101</v>
      </c>
      <c r="I71" s="3" t="s">
        <v>53</v>
      </c>
      <c r="J71" s="3" t="str">
        <f>IFERROR(INDEX(tblRestaurants[RestaurantName],MATCH(B71,tblRestaurants[RestaurantID],0)),"Unknown")</f>
        <v>Salsa Nights</v>
      </c>
      <c r="K71" s="3" t="str">
        <f>IFERROR(INDEX(tblRestaurants[Category],MATCH(B71,tblRestaurants[RestaurantID],0)),"Unknown")</f>
        <v>QSR</v>
      </c>
    </row>
    <row r="72" spans="1:11" x14ac:dyDescent="0.3">
      <c r="A72" s="3" t="s">
        <v>126</v>
      </c>
      <c r="B72" s="3" t="s">
        <v>30</v>
      </c>
      <c r="C72" s="3" t="s">
        <v>75</v>
      </c>
      <c r="D72" s="3" t="s">
        <v>8</v>
      </c>
      <c r="E72" s="4">
        <v>46081</v>
      </c>
      <c r="F72" s="3">
        <v>29</v>
      </c>
      <c r="G72" s="3">
        <v>4</v>
      </c>
      <c r="H72" s="3">
        <v>1517</v>
      </c>
      <c r="I72" s="3" t="s">
        <v>58</v>
      </c>
      <c r="J72" s="3" t="str">
        <f>IFERROR(INDEX(tblRestaurants[RestaurantName],MATCH(B72,tblRestaurants[RestaurantID],0)),"Unknown")</f>
        <v>Roma's Kitchen</v>
      </c>
      <c r="K72" s="3" t="str">
        <f>IFERROR(INDEX(tblRestaurants[Category],MATCH(B72,tblRestaurants[RestaurantID],0)),"Unknown")</f>
        <v>QSR</v>
      </c>
    </row>
    <row r="73" spans="1:11" x14ac:dyDescent="0.3">
      <c r="A73" s="3" t="s">
        <v>127</v>
      </c>
      <c r="B73" s="3" t="s">
        <v>30</v>
      </c>
      <c r="C73" s="3" t="s">
        <v>60</v>
      </c>
      <c r="D73" s="3" t="s">
        <v>20</v>
      </c>
      <c r="E73" s="4">
        <v>46101</v>
      </c>
      <c r="F73" s="3">
        <v>66</v>
      </c>
      <c r="G73" s="3">
        <v>5</v>
      </c>
      <c r="H73" s="3">
        <v>1063</v>
      </c>
      <c r="I73" s="3" t="s">
        <v>53</v>
      </c>
      <c r="J73" s="3" t="str">
        <f>IFERROR(INDEX(tblRestaurants[RestaurantName],MATCH(B73,tblRestaurants[RestaurantID],0)),"Unknown")</f>
        <v>Roma's Kitchen</v>
      </c>
      <c r="K73" s="3" t="str">
        <f>IFERROR(INDEX(tblRestaurants[Category],MATCH(B73,tblRestaurants[RestaurantID],0)),"Unknown")</f>
        <v>QSR</v>
      </c>
    </row>
    <row r="74" spans="1:11" x14ac:dyDescent="0.3">
      <c r="A74" s="3" t="s">
        <v>128</v>
      </c>
      <c r="B74" s="3" t="s">
        <v>36</v>
      </c>
      <c r="C74" s="3" t="s">
        <v>52</v>
      </c>
      <c r="D74" s="3" t="s">
        <v>20</v>
      </c>
      <c r="E74" s="4">
        <v>46056</v>
      </c>
      <c r="F74" s="3">
        <v>43</v>
      </c>
      <c r="G74" s="3">
        <v>3</v>
      </c>
      <c r="H74" s="3">
        <v>1718</v>
      </c>
      <c r="I74" s="3" t="s">
        <v>58</v>
      </c>
      <c r="J74" s="3" t="str">
        <f>IFERROR(INDEX(tblRestaurants[RestaurantName],MATCH(B74,tblRestaurants[RestaurantID],0)),"Unknown")</f>
        <v>La Pasta</v>
      </c>
      <c r="K74" s="3" t="str">
        <f>IFERROR(INDEX(tblRestaurants[Category],MATCH(B74,tblRestaurants[RestaurantID],0)),"Unknown")</f>
        <v>QSR</v>
      </c>
    </row>
    <row r="75" spans="1:11" x14ac:dyDescent="0.3">
      <c r="A75" s="3" t="s">
        <v>129</v>
      </c>
      <c r="B75" s="3" t="s">
        <v>28</v>
      </c>
      <c r="C75" s="3" t="s">
        <v>75</v>
      </c>
      <c r="D75" s="3" t="s">
        <v>16</v>
      </c>
      <c r="E75" s="4">
        <v>46079</v>
      </c>
      <c r="F75" s="3">
        <v>21</v>
      </c>
      <c r="G75" s="3">
        <v>3</v>
      </c>
      <c r="H75" s="3">
        <v>630</v>
      </c>
      <c r="I75" s="3" t="s">
        <v>53</v>
      </c>
      <c r="J75" s="3" t="str">
        <f>IFERROR(INDEX(tblRestaurants[RestaurantName],MATCH(B75,tblRestaurants[RestaurantID],0)),"Unknown")</f>
        <v>El Sombrero</v>
      </c>
      <c r="K75" s="3" t="str">
        <f>IFERROR(INDEX(tblRestaurants[Category],MATCH(B75,tblRestaurants[RestaurantID],0)),"Unknown")</f>
        <v>Dine-in</v>
      </c>
    </row>
    <row r="76" spans="1:11" x14ac:dyDescent="0.3">
      <c r="A76" s="3" t="s">
        <v>130</v>
      </c>
      <c r="B76" s="3" t="s">
        <v>24</v>
      </c>
      <c r="C76" s="3" t="s">
        <v>60</v>
      </c>
      <c r="D76" s="3" t="s">
        <v>23</v>
      </c>
      <c r="E76" s="4">
        <v>46033</v>
      </c>
      <c r="F76" s="3">
        <v>29</v>
      </c>
      <c r="G76" s="3">
        <v>2</v>
      </c>
      <c r="H76" s="3">
        <v>623</v>
      </c>
      <c r="I76" s="3" t="s">
        <v>53</v>
      </c>
      <c r="J76" s="3" t="str">
        <f>IFERROR(INDEX(tblRestaurants[RestaurantName],MATCH(B76,tblRestaurants[RestaurantID],0)),"Unknown")</f>
        <v>Curry House</v>
      </c>
      <c r="K76" s="3" t="str">
        <f>IFERROR(INDEX(tblRestaurants[Category],MATCH(B76,tblRestaurants[RestaurantID],0)),"Unknown")</f>
        <v>QSR</v>
      </c>
    </row>
    <row r="77" spans="1:11" x14ac:dyDescent="0.3">
      <c r="A77" s="3" t="s">
        <v>131</v>
      </c>
      <c r="B77" s="3" t="s">
        <v>36</v>
      </c>
      <c r="C77" s="3" t="s">
        <v>75</v>
      </c>
      <c r="D77" s="3" t="s">
        <v>12</v>
      </c>
      <c r="E77" s="4">
        <v>46031</v>
      </c>
      <c r="F77" s="3">
        <v>65</v>
      </c>
      <c r="G77" s="3">
        <v>4</v>
      </c>
      <c r="H77" s="3">
        <v>827</v>
      </c>
      <c r="I77" s="3" t="s">
        <v>58</v>
      </c>
      <c r="J77" s="3" t="str">
        <f>IFERROR(INDEX(tblRestaurants[RestaurantName],MATCH(B77,tblRestaurants[RestaurantID],0)),"Unknown")</f>
        <v>La Pasta</v>
      </c>
      <c r="K77" s="3" t="str">
        <f>IFERROR(INDEX(tblRestaurants[Category],MATCH(B77,tblRestaurants[RestaurantID],0)),"Unknown")</f>
        <v>QSR</v>
      </c>
    </row>
    <row r="78" spans="1:11" x14ac:dyDescent="0.3">
      <c r="A78" s="3" t="s">
        <v>132</v>
      </c>
      <c r="B78" s="3" t="s">
        <v>28</v>
      </c>
      <c r="C78" s="3" t="s">
        <v>52</v>
      </c>
      <c r="D78" s="3" t="s">
        <v>8</v>
      </c>
      <c r="E78" s="4">
        <v>46049</v>
      </c>
      <c r="F78" s="3">
        <v>65</v>
      </c>
      <c r="G78" s="3">
        <v>4</v>
      </c>
      <c r="H78" s="3">
        <v>1726</v>
      </c>
      <c r="I78" s="3" t="s">
        <v>66</v>
      </c>
      <c r="J78" s="3" t="str">
        <f>IFERROR(INDEX(tblRestaurants[RestaurantName],MATCH(B78,tblRestaurants[RestaurantID],0)),"Unknown")</f>
        <v>El Sombrero</v>
      </c>
      <c r="K78" s="3" t="str">
        <f>IFERROR(INDEX(tblRestaurants[Category],MATCH(B78,tblRestaurants[RestaurantID],0)),"Unknown")</f>
        <v>Dine-in</v>
      </c>
    </row>
    <row r="79" spans="1:11" x14ac:dyDescent="0.3">
      <c r="A79" s="3" t="s">
        <v>133</v>
      </c>
      <c r="B79" s="3" t="s">
        <v>36</v>
      </c>
      <c r="C79" s="3" t="s">
        <v>56</v>
      </c>
      <c r="D79" s="3" t="s">
        <v>23</v>
      </c>
      <c r="E79" s="4">
        <v>46071</v>
      </c>
      <c r="F79" s="3">
        <v>73</v>
      </c>
      <c r="G79" s="3">
        <v>1</v>
      </c>
      <c r="H79" s="3">
        <v>870</v>
      </c>
      <c r="I79" s="3" t="s">
        <v>53</v>
      </c>
      <c r="J79" s="3" t="str">
        <f>IFERROR(INDEX(tblRestaurants[RestaurantName],MATCH(B79,tblRestaurants[RestaurantID],0)),"Unknown")</f>
        <v>La Pasta</v>
      </c>
      <c r="K79" s="3" t="str">
        <f>IFERROR(INDEX(tblRestaurants[Category],MATCH(B79,tblRestaurants[RestaurantID],0)),"Unknown")</f>
        <v>QSR</v>
      </c>
    </row>
    <row r="80" spans="1:11" x14ac:dyDescent="0.3">
      <c r="A80" s="3" t="s">
        <v>134</v>
      </c>
      <c r="B80" s="3" t="s">
        <v>38</v>
      </c>
      <c r="C80" s="3" t="s">
        <v>52</v>
      </c>
      <c r="D80" s="3" t="s">
        <v>20</v>
      </c>
      <c r="E80" s="4">
        <v>46091</v>
      </c>
      <c r="F80" s="3">
        <v>40</v>
      </c>
      <c r="G80" s="3">
        <v>4</v>
      </c>
      <c r="H80" s="3">
        <v>599</v>
      </c>
      <c r="I80" s="3" t="s">
        <v>53</v>
      </c>
      <c r="J80" s="3" t="str">
        <f>IFERROR(INDEX(tblRestaurants[RestaurantName],MATCH(B80,tblRestaurants[RestaurantID],0)),"Unknown")</f>
        <v>Sizzling Spice</v>
      </c>
      <c r="K80" s="3" t="str">
        <f>IFERROR(INDEX(tblRestaurants[Category],MATCH(B80,tblRestaurants[RestaurantID],0)),"Unknown")</f>
        <v>Cloud Kitchen</v>
      </c>
    </row>
    <row r="81" spans="1:11" x14ac:dyDescent="0.3">
      <c r="A81" s="3" t="s">
        <v>135</v>
      </c>
      <c r="B81" s="3" t="s">
        <v>26</v>
      </c>
      <c r="C81" s="3" t="s">
        <v>52</v>
      </c>
      <c r="D81" s="3" t="s">
        <v>8</v>
      </c>
      <c r="E81" s="4">
        <v>46072</v>
      </c>
      <c r="F81" s="3">
        <v>55</v>
      </c>
      <c r="G81" s="3">
        <v>4</v>
      </c>
      <c r="H81" s="3">
        <v>1633</v>
      </c>
      <c r="I81" s="3" t="s">
        <v>53</v>
      </c>
      <c r="J81" s="3" t="str">
        <f>IFERROR(INDEX(tblRestaurants[RestaurantName],MATCH(B81,tblRestaurants[RestaurantID],0)),"Unknown")</f>
        <v>Wok This Way</v>
      </c>
      <c r="K81" s="3" t="str">
        <f>IFERROR(INDEX(tblRestaurants[Category],MATCH(B81,tblRestaurants[RestaurantID],0)),"Unknown")</f>
        <v>Cloud Kitchen</v>
      </c>
    </row>
    <row r="82" spans="1:11" x14ac:dyDescent="0.3">
      <c r="A82" s="3" t="s">
        <v>136</v>
      </c>
      <c r="B82" s="3" t="s">
        <v>40</v>
      </c>
      <c r="C82" s="3" t="s">
        <v>52</v>
      </c>
      <c r="D82" s="3" t="s">
        <v>12</v>
      </c>
      <c r="E82" s="4">
        <v>46102</v>
      </c>
      <c r="F82" s="3">
        <v>15</v>
      </c>
      <c r="G82" s="3">
        <v>4</v>
      </c>
      <c r="H82" s="3">
        <v>1362</v>
      </c>
      <c r="I82" s="3" t="s">
        <v>66</v>
      </c>
      <c r="J82" s="3" t="str">
        <f>IFERROR(INDEX(tblRestaurants[RestaurantName],MATCH(B82,tblRestaurants[RestaurantID],0)),"Unknown")</f>
        <v>Green Chilli</v>
      </c>
      <c r="K82" s="3" t="str">
        <f>IFERROR(INDEX(tblRestaurants[Category],MATCH(B82,tblRestaurants[RestaurantID],0)),"Unknown")</f>
        <v>Dine-in</v>
      </c>
    </row>
    <row r="83" spans="1:11" x14ac:dyDescent="0.3">
      <c r="A83" s="3" t="s">
        <v>137</v>
      </c>
      <c r="B83" s="3" t="s">
        <v>34</v>
      </c>
      <c r="C83" s="3" t="s">
        <v>56</v>
      </c>
      <c r="D83" s="3" t="s">
        <v>8</v>
      </c>
      <c r="E83" s="4">
        <v>46105</v>
      </c>
      <c r="F83" s="3">
        <v>66</v>
      </c>
      <c r="G83" s="3">
        <v>2</v>
      </c>
      <c r="H83" s="3">
        <v>1095</v>
      </c>
      <c r="I83" s="3" t="s">
        <v>53</v>
      </c>
      <c r="J83" s="3" t="str">
        <f>IFERROR(INDEX(tblRestaurants[RestaurantName],MATCH(B83,tblRestaurants[RestaurantID],0)),"Unknown")</f>
        <v>Bombay Bites</v>
      </c>
      <c r="K83" s="3" t="str">
        <f>IFERROR(INDEX(tblRestaurants[Category],MATCH(B83,tblRestaurants[RestaurantID],0)),"Unknown")</f>
        <v>Dine-in</v>
      </c>
    </row>
    <row r="84" spans="1:11" x14ac:dyDescent="0.3">
      <c r="A84" s="3" t="s">
        <v>138</v>
      </c>
      <c r="B84" s="3" t="s">
        <v>6</v>
      </c>
      <c r="C84" s="3" t="s">
        <v>60</v>
      </c>
      <c r="D84" s="3" t="s">
        <v>20</v>
      </c>
      <c r="E84" s="4">
        <v>46064</v>
      </c>
      <c r="F84" s="3">
        <v>39</v>
      </c>
      <c r="G84" s="3">
        <v>4</v>
      </c>
      <c r="H84" s="3">
        <v>819</v>
      </c>
      <c r="I84" s="3" t="s">
        <v>53</v>
      </c>
      <c r="J84" s="3" t="str">
        <f>IFERROR(INDEX(tblRestaurants[RestaurantName],MATCH(B84,tblRestaurants[RestaurantID],0)),"Unknown")</f>
        <v>Spice Route</v>
      </c>
      <c r="K84" s="3" t="str">
        <f>IFERROR(INDEX(tblRestaurants[Category],MATCH(B84,tblRestaurants[RestaurantID],0)),"Unknown")</f>
        <v>Cloud Kitchen</v>
      </c>
    </row>
    <row r="85" spans="1:11" x14ac:dyDescent="0.3">
      <c r="A85" s="3" t="s">
        <v>139</v>
      </c>
      <c r="B85" s="3" t="s">
        <v>38</v>
      </c>
      <c r="C85" s="3" t="s">
        <v>52</v>
      </c>
      <c r="D85" s="3" t="s">
        <v>16</v>
      </c>
      <c r="E85" s="4">
        <v>46076</v>
      </c>
      <c r="F85" s="3">
        <v>44</v>
      </c>
      <c r="G85" s="3">
        <v>1</v>
      </c>
      <c r="H85" s="3">
        <v>1113</v>
      </c>
      <c r="I85" s="3" t="s">
        <v>53</v>
      </c>
      <c r="J85" s="3" t="str">
        <f>IFERROR(INDEX(tblRestaurants[RestaurantName],MATCH(B85,tblRestaurants[RestaurantID],0)),"Unknown")</f>
        <v>Sizzling Spice</v>
      </c>
      <c r="K85" s="3" t="str">
        <f>IFERROR(INDEX(tblRestaurants[Category],MATCH(B85,tblRestaurants[RestaurantID],0)),"Unknown")</f>
        <v>Cloud Kitchen</v>
      </c>
    </row>
    <row r="86" spans="1:11" x14ac:dyDescent="0.3">
      <c r="A86" s="3" t="s">
        <v>140</v>
      </c>
      <c r="B86" s="3" t="s">
        <v>36</v>
      </c>
      <c r="C86" s="3" t="s">
        <v>56</v>
      </c>
      <c r="D86" s="3" t="s">
        <v>16</v>
      </c>
      <c r="E86" s="4">
        <v>46051</v>
      </c>
      <c r="F86" s="3">
        <v>20</v>
      </c>
      <c r="G86" s="3">
        <v>1</v>
      </c>
      <c r="H86" s="3">
        <v>1694</v>
      </c>
      <c r="I86" s="3" t="s">
        <v>53</v>
      </c>
      <c r="J86" s="3" t="str">
        <f>IFERROR(INDEX(tblRestaurants[RestaurantName],MATCH(B86,tblRestaurants[RestaurantID],0)),"Unknown")</f>
        <v>La Pasta</v>
      </c>
      <c r="K86" s="3" t="str">
        <f>IFERROR(INDEX(tblRestaurants[Category],MATCH(B86,tblRestaurants[RestaurantID],0)),"Unknown")</f>
        <v>QSR</v>
      </c>
    </row>
    <row r="87" spans="1:11" x14ac:dyDescent="0.3">
      <c r="A87" s="3" t="s">
        <v>141</v>
      </c>
      <c r="B87" s="3" t="s">
        <v>18</v>
      </c>
      <c r="C87" s="3" t="s">
        <v>75</v>
      </c>
      <c r="D87" s="3" t="s">
        <v>8</v>
      </c>
      <c r="E87" s="4">
        <v>46102</v>
      </c>
      <c r="F87" s="3">
        <v>31</v>
      </c>
      <c r="G87" s="3">
        <v>2</v>
      </c>
      <c r="H87" s="3">
        <v>408</v>
      </c>
      <c r="I87" s="3" t="s">
        <v>58</v>
      </c>
      <c r="J87" s="3" t="str">
        <f>IFERROR(INDEX(tblRestaurants[RestaurantName],MATCH(B87,tblRestaurants[RestaurantID],0)),"Unknown")</f>
        <v>Taco Fiesta</v>
      </c>
      <c r="K87" s="3" t="str">
        <f>IFERROR(INDEX(tblRestaurants[Category],MATCH(B87,tblRestaurants[RestaurantID],0)),"Unknown")</f>
        <v>Cloud Kitchen</v>
      </c>
    </row>
    <row r="88" spans="1:11" x14ac:dyDescent="0.3">
      <c r="A88" s="3" t="s">
        <v>142</v>
      </c>
      <c r="B88" s="3" t="s">
        <v>34</v>
      </c>
      <c r="C88" s="3" t="s">
        <v>56</v>
      </c>
      <c r="D88" s="3" t="s">
        <v>23</v>
      </c>
      <c r="E88" s="4">
        <v>46050</v>
      </c>
      <c r="F88" s="3">
        <v>71</v>
      </c>
      <c r="G88" s="3">
        <v>3</v>
      </c>
      <c r="H88" s="3">
        <v>1720</v>
      </c>
      <c r="I88" s="3" t="s">
        <v>53</v>
      </c>
      <c r="J88" s="3" t="str">
        <f>IFERROR(INDEX(tblRestaurants[RestaurantName],MATCH(B88,tblRestaurants[RestaurantID],0)),"Unknown")</f>
        <v>Bombay Bites</v>
      </c>
      <c r="K88" s="3" t="str">
        <f>IFERROR(INDEX(tblRestaurants[Category],MATCH(B88,tblRestaurants[RestaurantID],0)),"Unknown")</f>
        <v>Dine-in</v>
      </c>
    </row>
    <row r="89" spans="1:11" x14ac:dyDescent="0.3">
      <c r="A89" s="3" t="s">
        <v>143</v>
      </c>
      <c r="B89" s="3" t="s">
        <v>14</v>
      </c>
      <c r="C89" s="3" t="s">
        <v>56</v>
      </c>
      <c r="D89" s="3" t="s">
        <v>12</v>
      </c>
      <c r="E89" s="4">
        <v>46062</v>
      </c>
      <c r="F89" s="3">
        <v>25</v>
      </c>
      <c r="G89" s="3">
        <v>5</v>
      </c>
      <c r="H89" s="3">
        <v>202</v>
      </c>
      <c r="I89" s="3" t="s">
        <v>53</v>
      </c>
      <c r="J89" s="3" t="str">
        <f>IFERROR(INDEX(tblRestaurants[RestaurantName],MATCH(B89,tblRestaurants[RestaurantID],0)),"Unknown")</f>
        <v>Noodle Bar</v>
      </c>
      <c r="K89" s="3" t="str">
        <f>IFERROR(INDEX(tblRestaurants[Category],MATCH(B89,tblRestaurants[RestaurantID],0)),"Unknown")</f>
        <v>QSR</v>
      </c>
    </row>
    <row r="90" spans="1:11" x14ac:dyDescent="0.3">
      <c r="A90" s="3" t="s">
        <v>144</v>
      </c>
      <c r="B90" s="3" t="s">
        <v>32</v>
      </c>
      <c r="C90" s="3" t="s">
        <v>52</v>
      </c>
      <c r="D90" s="3" t="s">
        <v>20</v>
      </c>
      <c r="E90" s="4">
        <v>46048</v>
      </c>
      <c r="F90" s="3">
        <v>21</v>
      </c>
      <c r="G90" s="3">
        <v>5</v>
      </c>
      <c r="H90" s="3">
        <v>1564</v>
      </c>
      <c r="I90" s="3" t="s">
        <v>53</v>
      </c>
      <c r="J90" s="3" t="str">
        <f>IFERROR(INDEX(tblRestaurants[RestaurantName],MATCH(B90,tblRestaurants[RestaurantID],0)),"Unknown")</f>
        <v>Dragon Wok</v>
      </c>
      <c r="K90" s="3" t="str">
        <f>IFERROR(INDEX(tblRestaurants[Category],MATCH(B90,tblRestaurants[RestaurantID],0)),"Unknown")</f>
        <v>Cloud Kitchen</v>
      </c>
    </row>
    <row r="91" spans="1:11" x14ac:dyDescent="0.3">
      <c r="A91" s="3" t="s">
        <v>145</v>
      </c>
      <c r="B91" s="3" t="s">
        <v>10</v>
      </c>
      <c r="C91" s="3" t="s">
        <v>60</v>
      </c>
      <c r="D91" s="3" t="s">
        <v>23</v>
      </c>
      <c r="E91" s="4">
        <v>46038</v>
      </c>
      <c r="F91" s="3">
        <v>17</v>
      </c>
      <c r="G91" s="3">
        <v>3</v>
      </c>
      <c r="H91" s="3">
        <v>1241</v>
      </c>
      <c r="I91" s="3" t="s">
        <v>53</v>
      </c>
      <c r="J91" s="3" t="str">
        <f>IFERROR(INDEX(tblRestaurants[RestaurantName],MATCH(B91,tblRestaurants[RestaurantID],0)),"Unknown")</f>
        <v>Urban Tadka</v>
      </c>
      <c r="K91" s="3" t="str">
        <f>IFERROR(INDEX(tblRestaurants[Category],MATCH(B91,tblRestaurants[RestaurantID],0)),"Unknown")</f>
        <v>Dine-in</v>
      </c>
    </row>
    <row r="92" spans="1:11" x14ac:dyDescent="0.3">
      <c r="A92" s="3" t="s">
        <v>146</v>
      </c>
      <c r="B92" s="3" t="s">
        <v>34</v>
      </c>
      <c r="C92" s="3" t="s">
        <v>60</v>
      </c>
      <c r="D92" s="3" t="s">
        <v>8</v>
      </c>
      <c r="E92" s="4">
        <v>46087</v>
      </c>
      <c r="F92" s="3">
        <v>55</v>
      </c>
      <c r="G92" s="3">
        <v>1</v>
      </c>
      <c r="H92" s="3">
        <v>1010</v>
      </c>
      <c r="I92" s="3" t="s">
        <v>58</v>
      </c>
      <c r="J92" s="3" t="str">
        <f>IFERROR(INDEX(tblRestaurants[RestaurantName],MATCH(B92,tblRestaurants[RestaurantID],0)),"Unknown")</f>
        <v>Bombay Bites</v>
      </c>
      <c r="K92" s="3" t="str">
        <f>IFERROR(INDEX(tblRestaurants[Category],MATCH(B92,tblRestaurants[RestaurantID],0)),"Unknown")</f>
        <v>Dine-in</v>
      </c>
    </row>
    <row r="93" spans="1:11" x14ac:dyDescent="0.3">
      <c r="A93" s="3" t="s">
        <v>147</v>
      </c>
      <c r="B93" s="3" t="s">
        <v>10</v>
      </c>
      <c r="C93" s="3" t="s">
        <v>52</v>
      </c>
      <c r="D93" s="3" t="s">
        <v>16</v>
      </c>
      <c r="E93" s="4">
        <v>46104</v>
      </c>
      <c r="F93" s="3">
        <v>70</v>
      </c>
      <c r="G93" s="3">
        <v>2</v>
      </c>
      <c r="H93" s="3">
        <v>1041</v>
      </c>
      <c r="I93" s="3" t="s">
        <v>53</v>
      </c>
      <c r="J93" s="3" t="str">
        <f>IFERROR(INDEX(tblRestaurants[RestaurantName],MATCH(B93,tblRestaurants[RestaurantID],0)),"Unknown")</f>
        <v>Urban Tadka</v>
      </c>
      <c r="K93" s="3" t="str">
        <f>IFERROR(INDEX(tblRestaurants[Category],MATCH(B93,tblRestaurants[RestaurantID],0)),"Unknown")</f>
        <v>Dine-in</v>
      </c>
    </row>
    <row r="94" spans="1:11" x14ac:dyDescent="0.3">
      <c r="A94" s="3" t="s">
        <v>148</v>
      </c>
      <c r="B94" s="3" t="s">
        <v>36</v>
      </c>
      <c r="C94" s="3" t="s">
        <v>60</v>
      </c>
      <c r="D94" s="3" t="s">
        <v>23</v>
      </c>
      <c r="E94" s="4">
        <v>46091</v>
      </c>
      <c r="F94" s="3">
        <v>73</v>
      </c>
      <c r="G94" s="3">
        <v>4</v>
      </c>
      <c r="H94" s="3">
        <v>1042</v>
      </c>
      <c r="I94" s="3" t="s">
        <v>66</v>
      </c>
      <c r="J94" s="3" t="str">
        <f>IFERROR(INDEX(tblRestaurants[RestaurantName],MATCH(B94,tblRestaurants[RestaurantID],0)),"Unknown")</f>
        <v>La Pasta</v>
      </c>
      <c r="K94" s="3" t="str">
        <f>IFERROR(INDEX(tblRestaurants[Category],MATCH(B94,tblRestaurants[RestaurantID],0)),"Unknown")</f>
        <v>QSR</v>
      </c>
    </row>
    <row r="95" spans="1:11" x14ac:dyDescent="0.3">
      <c r="A95" s="3" t="s">
        <v>149</v>
      </c>
      <c r="B95" s="3" t="s">
        <v>21</v>
      </c>
      <c r="C95" s="3" t="s">
        <v>60</v>
      </c>
      <c r="D95" s="3" t="s">
        <v>12</v>
      </c>
      <c r="E95" s="4">
        <v>46034</v>
      </c>
      <c r="F95" s="3">
        <v>47</v>
      </c>
      <c r="G95" s="3">
        <v>4</v>
      </c>
      <c r="H95" s="3">
        <v>649</v>
      </c>
      <c r="I95" s="3" t="s">
        <v>58</v>
      </c>
      <c r="J95" s="3" t="str">
        <f>IFERROR(INDEX(tblRestaurants[RestaurantName],MATCH(B95,tblRestaurants[RestaurantID],0)),"Unknown")</f>
        <v>Pizza Corner</v>
      </c>
      <c r="K95" s="3" t="str">
        <f>IFERROR(INDEX(tblRestaurants[Category],MATCH(B95,tblRestaurants[RestaurantID],0)),"Unknown")</f>
        <v>Dine-in</v>
      </c>
    </row>
    <row r="96" spans="1:11" x14ac:dyDescent="0.3">
      <c r="A96" s="3" t="s">
        <v>150</v>
      </c>
      <c r="B96" s="3" t="s">
        <v>32</v>
      </c>
      <c r="C96" s="3" t="s">
        <v>52</v>
      </c>
      <c r="D96" s="3" t="s">
        <v>16</v>
      </c>
      <c r="E96" s="4">
        <v>46026</v>
      </c>
      <c r="F96" s="3">
        <v>75</v>
      </c>
      <c r="G96" s="3">
        <v>3</v>
      </c>
      <c r="H96" s="3">
        <v>522</v>
      </c>
      <c r="I96" s="3" t="s">
        <v>58</v>
      </c>
      <c r="J96" s="3" t="str">
        <f>IFERROR(INDEX(tblRestaurants[RestaurantName],MATCH(B96,tblRestaurants[RestaurantID],0)),"Unknown")</f>
        <v>Dragon Wok</v>
      </c>
      <c r="K96" s="3" t="str">
        <f>IFERROR(INDEX(tblRestaurants[Category],MATCH(B96,tblRestaurants[RestaurantID],0)),"Unknown")</f>
        <v>Cloud Kitchen</v>
      </c>
    </row>
    <row r="97" spans="1:11" x14ac:dyDescent="0.3">
      <c r="A97" s="3" t="s">
        <v>151</v>
      </c>
      <c r="B97" s="3" t="s">
        <v>18</v>
      </c>
      <c r="C97" s="3" t="s">
        <v>60</v>
      </c>
      <c r="D97" s="3" t="s">
        <v>16</v>
      </c>
      <c r="E97" s="4">
        <v>46066</v>
      </c>
      <c r="F97" s="3">
        <v>47</v>
      </c>
      <c r="G97" s="3">
        <v>5</v>
      </c>
      <c r="H97" s="3">
        <v>1586</v>
      </c>
      <c r="I97" s="3" t="s">
        <v>53</v>
      </c>
      <c r="J97" s="3" t="str">
        <f>IFERROR(INDEX(tblRestaurants[RestaurantName],MATCH(B97,tblRestaurants[RestaurantID],0)),"Unknown")</f>
        <v>Taco Fiesta</v>
      </c>
      <c r="K97" s="3" t="str">
        <f>IFERROR(INDEX(tblRestaurants[Category],MATCH(B97,tblRestaurants[RestaurantID],0)),"Unknown")</f>
        <v>Cloud Kitchen</v>
      </c>
    </row>
    <row r="98" spans="1:11" x14ac:dyDescent="0.3">
      <c r="A98" s="3" t="s">
        <v>152</v>
      </c>
      <c r="B98" s="3" t="s">
        <v>30</v>
      </c>
      <c r="C98" s="3" t="s">
        <v>56</v>
      </c>
      <c r="D98" s="3" t="s">
        <v>23</v>
      </c>
      <c r="E98" s="4">
        <v>46047</v>
      </c>
      <c r="F98" s="3">
        <v>22</v>
      </c>
      <c r="G98" s="3">
        <v>2</v>
      </c>
      <c r="H98" s="3">
        <v>1624</v>
      </c>
      <c r="I98" s="3" t="s">
        <v>53</v>
      </c>
      <c r="J98" s="3" t="str">
        <f>IFERROR(INDEX(tblRestaurants[RestaurantName],MATCH(B98,tblRestaurants[RestaurantID],0)),"Unknown")</f>
        <v>Roma's Kitchen</v>
      </c>
      <c r="K98" s="3" t="str">
        <f>IFERROR(INDEX(tblRestaurants[Category],MATCH(B98,tblRestaurants[RestaurantID],0)),"Unknown")</f>
        <v>QSR</v>
      </c>
    </row>
    <row r="99" spans="1:11" x14ac:dyDescent="0.3">
      <c r="A99" s="3" t="s">
        <v>153</v>
      </c>
      <c r="B99" s="3" t="s">
        <v>28</v>
      </c>
      <c r="C99" s="3" t="s">
        <v>75</v>
      </c>
      <c r="D99" s="3" t="s">
        <v>20</v>
      </c>
      <c r="E99" s="4">
        <v>46105</v>
      </c>
      <c r="F99" s="3">
        <v>74</v>
      </c>
      <c r="G99" s="3">
        <v>4</v>
      </c>
      <c r="H99" s="3">
        <v>1773</v>
      </c>
      <c r="I99" s="3" t="s">
        <v>53</v>
      </c>
      <c r="J99" s="3" t="str">
        <f>IFERROR(INDEX(tblRestaurants[RestaurantName],MATCH(B99,tblRestaurants[RestaurantID],0)),"Unknown")</f>
        <v>El Sombrero</v>
      </c>
      <c r="K99" s="3" t="str">
        <f>IFERROR(INDEX(tblRestaurants[Category],MATCH(B99,tblRestaurants[RestaurantID],0)),"Unknown")</f>
        <v>Dine-in</v>
      </c>
    </row>
    <row r="100" spans="1:11" x14ac:dyDescent="0.3">
      <c r="A100" s="3" t="s">
        <v>154</v>
      </c>
      <c r="B100" s="3" t="s">
        <v>10</v>
      </c>
      <c r="C100" s="3" t="s">
        <v>60</v>
      </c>
      <c r="D100" s="3" t="s">
        <v>12</v>
      </c>
      <c r="E100" s="4">
        <v>46074</v>
      </c>
      <c r="F100" s="3">
        <v>43</v>
      </c>
      <c r="G100" s="3">
        <v>3</v>
      </c>
      <c r="H100" s="3">
        <v>1509</v>
      </c>
      <c r="I100" s="3" t="s">
        <v>66</v>
      </c>
      <c r="J100" s="3" t="str">
        <f>IFERROR(INDEX(tblRestaurants[RestaurantName],MATCH(B100,tblRestaurants[RestaurantID],0)),"Unknown")</f>
        <v>Urban Tadka</v>
      </c>
      <c r="K100" s="3" t="str">
        <f>IFERROR(INDEX(tblRestaurants[Category],MATCH(B100,tblRestaurants[RestaurantID],0)),"Unknown")</f>
        <v>Dine-in</v>
      </c>
    </row>
    <row r="101" spans="1:11" x14ac:dyDescent="0.3">
      <c r="A101" s="3" t="s">
        <v>155</v>
      </c>
      <c r="B101" s="3" t="s">
        <v>24</v>
      </c>
      <c r="C101" s="3" t="s">
        <v>52</v>
      </c>
      <c r="D101" s="3" t="s">
        <v>23</v>
      </c>
      <c r="E101" s="4">
        <v>46090</v>
      </c>
      <c r="F101" s="3">
        <v>56</v>
      </c>
      <c r="G101" s="3">
        <v>4</v>
      </c>
      <c r="H101" s="3">
        <v>1677</v>
      </c>
      <c r="I101" s="3" t="s">
        <v>58</v>
      </c>
      <c r="J101" s="3" t="str">
        <f>IFERROR(INDEX(tblRestaurants[RestaurantName],MATCH(B101,tblRestaurants[RestaurantID],0)),"Unknown")</f>
        <v>Curry House</v>
      </c>
      <c r="K101" s="3" t="str">
        <f>IFERROR(INDEX(tblRestaurants[Category],MATCH(B101,tblRestaurants[RestaurantID],0)),"Unknown")</f>
        <v>QSR</v>
      </c>
    </row>
    <row r="102" spans="1:11" x14ac:dyDescent="0.3">
      <c r="A102" s="3" t="s">
        <v>156</v>
      </c>
      <c r="B102" s="3" t="s">
        <v>24</v>
      </c>
      <c r="C102" s="3" t="s">
        <v>60</v>
      </c>
      <c r="D102" s="3" t="s">
        <v>20</v>
      </c>
      <c r="E102" s="4">
        <v>46057</v>
      </c>
      <c r="F102" s="3">
        <v>51</v>
      </c>
      <c r="G102" s="3">
        <v>3</v>
      </c>
      <c r="H102" s="3">
        <v>622</v>
      </c>
      <c r="I102" s="3" t="s">
        <v>53</v>
      </c>
      <c r="J102" s="3" t="str">
        <f>IFERROR(INDEX(tblRestaurants[RestaurantName],MATCH(B102,tblRestaurants[RestaurantID],0)),"Unknown")</f>
        <v>Curry House</v>
      </c>
      <c r="K102" s="3" t="str">
        <f>IFERROR(INDEX(tblRestaurants[Category],MATCH(B102,tblRestaurants[RestaurantID],0)),"Unknown")</f>
        <v>QSR</v>
      </c>
    </row>
    <row r="103" spans="1:11" x14ac:dyDescent="0.3">
      <c r="A103" s="3" t="s">
        <v>157</v>
      </c>
      <c r="B103" s="3" t="s">
        <v>36</v>
      </c>
      <c r="C103" s="3" t="s">
        <v>75</v>
      </c>
      <c r="D103" s="3" t="s">
        <v>16</v>
      </c>
      <c r="E103" s="4">
        <v>46038</v>
      </c>
      <c r="F103" s="3">
        <v>35</v>
      </c>
      <c r="G103" s="3">
        <v>2</v>
      </c>
      <c r="H103" s="3">
        <v>593</v>
      </c>
      <c r="I103" s="3" t="s">
        <v>58</v>
      </c>
      <c r="J103" s="3" t="str">
        <f>IFERROR(INDEX(tblRestaurants[RestaurantName],MATCH(B103,tblRestaurants[RestaurantID],0)),"Unknown")</f>
        <v>La Pasta</v>
      </c>
      <c r="K103" s="3" t="str">
        <f>IFERROR(INDEX(tblRestaurants[Category],MATCH(B103,tblRestaurants[RestaurantID],0)),"Unknown")</f>
        <v>QSR</v>
      </c>
    </row>
    <row r="104" spans="1:11" x14ac:dyDescent="0.3">
      <c r="A104" s="3" t="s">
        <v>158</v>
      </c>
      <c r="B104" s="3" t="s">
        <v>21</v>
      </c>
      <c r="C104" s="3" t="s">
        <v>60</v>
      </c>
      <c r="D104" s="3" t="s">
        <v>8</v>
      </c>
      <c r="E104" s="4">
        <v>46047</v>
      </c>
      <c r="F104" s="3">
        <v>49</v>
      </c>
      <c r="G104" s="3">
        <v>2</v>
      </c>
      <c r="H104" s="3">
        <v>889</v>
      </c>
      <c r="I104" s="3" t="s">
        <v>53</v>
      </c>
      <c r="J104" s="3" t="str">
        <f>IFERROR(INDEX(tblRestaurants[RestaurantName],MATCH(B104,tblRestaurants[RestaurantID],0)),"Unknown")</f>
        <v>Pizza Corner</v>
      </c>
      <c r="K104" s="3" t="str">
        <f>IFERROR(INDEX(tblRestaurants[Category],MATCH(B104,tblRestaurants[RestaurantID],0)),"Unknown")</f>
        <v>Dine-in</v>
      </c>
    </row>
    <row r="105" spans="1:11" x14ac:dyDescent="0.3">
      <c r="A105" s="3" t="s">
        <v>159</v>
      </c>
      <c r="B105" s="3" t="s">
        <v>21</v>
      </c>
      <c r="C105" s="3" t="s">
        <v>56</v>
      </c>
      <c r="D105" s="3" t="s">
        <v>23</v>
      </c>
      <c r="E105" s="4">
        <v>46039</v>
      </c>
      <c r="F105" s="3">
        <v>47</v>
      </c>
      <c r="G105" s="3">
        <v>1</v>
      </c>
      <c r="H105" s="3">
        <v>261</v>
      </c>
      <c r="I105" s="3" t="s">
        <v>58</v>
      </c>
      <c r="J105" s="3" t="str">
        <f>IFERROR(INDEX(tblRestaurants[RestaurantName],MATCH(B105,tblRestaurants[RestaurantID],0)),"Unknown")</f>
        <v>Pizza Corner</v>
      </c>
      <c r="K105" s="3" t="str">
        <f>IFERROR(INDEX(tblRestaurants[Category],MATCH(B105,tblRestaurants[RestaurantID],0)),"Unknown")</f>
        <v>Dine-in</v>
      </c>
    </row>
    <row r="106" spans="1:11" x14ac:dyDescent="0.3">
      <c r="A106" s="3" t="s">
        <v>160</v>
      </c>
      <c r="B106" s="3" t="s">
        <v>21</v>
      </c>
      <c r="C106" s="3" t="s">
        <v>75</v>
      </c>
      <c r="D106" s="3" t="s">
        <v>20</v>
      </c>
      <c r="E106" s="4">
        <v>46036</v>
      </c>
      <c r="F106" s="3">
        <v>13</v>
      </c>
      <c r="G106" s="3">
        <v>5</v>
      </c>
      <c r="H106" s="3">
        <v>732</v>
      </c>
      <c r="I106" s="3" t="s">
        <v>58</v>
      </c>
      <c r="J106" s="3" t="str">
        <f>IFERROR(INDEX(tblRestaurants[RestaurantName],MATCH(B106,tblRestaurants[RestaurantID],0)),"Unknown")</f>
        <v>Pizza Corner</v>
      </c>
      <c r="K106" s="3" t="str">
        <f>IFERROR(INDEX(tblRestaurants[Category],MATCH(B106,tblRestaurants[RestaurantID],0)),"Unknown")</f>
        <v>Dine-in</v>
      </c>
    </row>
    <row r="107" spans="1:11" x14ac:dyDescent="0.3">
      <c r="A107" s="3" t="s">
        <v>161</v>
      </c>
      <c r="B107" s="3" t="s">
        <v>28</v>
      </c>
      <c r="C107" s="3" t="s">
        <v>52</v>
      </c>
      <c r="D107" s="3" t="s">
        <v>16</v>
      </c>
      <c r="E107" s="4">
        <v>46046</v>
      </c>
      <c r="F107" s="3">
        <v>18</v>
      </c>
      <c r="G107" s="3">
        <v>3</v>
      </c>
      <c r="H107" s="3">
        <v>1128</v>
      </c>
      <c r="I107" s="3" t="s">
        <v>53</v>
      </c>
      <c r="J107" s="3" t="str">
        <f>IFERROR(INDEX(tblRestaurants[RestaurantName],MATCH(B107,tblRestaurants[RestaurantID],0)),"Unknown")</f>
        <v>El Sombrero</v>
      </c>
      <c r="K107" s="3" t="str">
        <f>IFERROR(INDEX(tblRestaurants[Category],MATCH(B107,tblRestaurants[RestaurantID],0)),"Unknown")</f>
        <v>Dine-in</v>
      </c>
    </row>
    <row r="108" spans="1:11" x14ac:dyDescent="0.3">
      <c r="A108" s="3" t="s">
        <v>162</v>
      </c>
      <c r="B108" s="3" t="s">
        <v>40</v>
      </c>
      <c r="C108" s="3" t="s">
        <v>56</v>
      </c>
      <c r="D108" s="3" t="s">
        <v>20</v>
      </c>
      <c r="E108" s="4">
        <v>46085</v>
      </c>
      <c r="F108" s="3">
        <v>21</v>
      </c>
      <c r="G108" s="3">
        <v>5</v>
      </c>
      <c r="H108" s="3">
        <v>1439</v>
      </c>
      <c r="I108" s="3" t="s">
        <v>53</v>
      </c>
      <c r="J108" s="3" t="str">
        <f>IFERROR(INDEX(tblRestaurants[RestaurantName],MATCH(B108,tblRestaurants[RestaurantID],0)),"Unknown")</f>
        <v>Green Chilli</v>
      </c>
      <c r="K108" s="3" t="str">
        <f>IFERROR(INDEX(tblRestaurants[Category],MATCH(B108,tblRestaurants[RestaurantID],0)),"Unknown")</f>
        <v>Dine-in</v>
      </c>
    </row>
    <row r="109" spans="1:11" x14ac:dyDescent="0.3">
      <c r="A109" s="3" t="s">
        <v>163</v>
      </c>
      <c r="B109" s="3" t="s">
        <v>14</v>
      </c>
      <c r="C109" s="3" t="s">
        <v>75</v>
      </c>
      <c r="D109" s="3" t="s">
        <v>23</v>
      </c>
      <c r="E109" s="4">
        <v>46061</v>
      </c>
      <c r="F109" s="3">
        <v>22</v>
      </c>
      <c r="G109" s="3">
        <v>2</v>
      </c>
      <c r="H109" s="3">
        <v>392</v>
      </c>
      <c r="I109" s="3" t="s">
        <v>58</v>
      </c>
      <c r="J109" s="3" t="str">
        <f>IFERROR(INDEX(tblRestaurants[RestaurantName],MATCH(B109,tblRestaurants[RestaurantID],0)),"Unknown")</f>
        <v>Noodle Bar</v>
      </c>
      <c r="K109" s="3" t="str">
        <f>IFERROR(INDEX(tblRestaurants[Category],MATCH(B109,tblRestaurants[RestaurantID],0)),"Unknown")</f>
        <v>QSR</v>
      </c>
    </row>
    <row r="110" spans="1:11" x14ac:dyDescent="0.3">
      <c r="A110" s="3" t="s">
        <v>164</v>
      </c>
      <c r="B110" s="3" t="s">
        <v>38</v>
      </c>
      <c r="C110" s="3" t="s">
        <v>52</v>
      </c>
      <c r="D110" s="3" t="s">
        <v>23</v>
      </c>
      <c r="E110" s="4">
        <v>46099</v>
      </c>
      <c r="F110" s="3">
        <v>40</v>
      </c>
      <c r="G110" s="3">
        <v>5</v>
      </c>
      <c r="H110" s="3">
        <v>929</v>
      </c>
      <c r="I110" s="3" t="s">
        <v>58</v>
      </c>
      <c r="J110" s="3" t="str">
        <f>IFERROR(INDEX(tblRestaurants[RestaurantName],MATCH(B110,tblRestaurants[RestaurantID],0)),"Unknown")</f>
        <v>Sizzling Spice</v>
      </c>
      <c r="K110" s="3" t="str">
        <f>IFERROR(INDEX(tblRestaurants[Category],MATCH(B110,tblRestaurants[RestaurantID],0)),"Unknown")</f>
        <v>Cloud Kitchen</v>
      </c>
    </row>
    <row r="111" spans="1:11" x14ac:dyDescent="0.3">
      <c r="A111" s="3" t="s">
        <v>165</v>
      </c>
      <c r="B111" s="3" t="s">
        <v>42</v>
      </c>
      <c r="C111" s="3" t="s">
        <v>52</v>
      </c>
      <c r="D111" s="3" t="s">
        <v>16</v>
      </c>
      <c r="E111" s="4">
        <v>46098</v>
      </c>
      <c r="F111" s="3">
        <v>66</v>
      </c>
      <c r="G111" s="3">
        <v>3</v>
      </c>
      <c r="H111" s="3">
        <v>1314</v>
      </c>
      <c r="I111" s="3" t="s">
        <v>66</v>
      </c>
      <c r="J111" s="3" t="str">
        <f>IFERROR(INDEX(tblRestaurants[RestaurantName],MATCH(B111,tblRestaurants[RestaurantID],0)),"Unknown")</f>
        <v>Salsa Nights</v>
      </c>
      <c r="K111" s="3" t="str">
        <f>IFERROR(INDEX(tblRestaurants[Category],MATCH(B111,tblRestaurants[RestaurantID],0)),"Unknown")</f>
        <v>QSR</v>
      </c>
    </row>
    <row r="112" spans="1:11" x14ac:dyDescent="0.3">
      <c r="A112" s="3" t="s">
        <v>166</v>
      </c>
      <c r="B112" s="3" t="s">
        <v>6</v>
      </c>
      <c r="C112" s="3" t="s">
        <v>56</v>
      </c>
      <c r="D112" s="3" t="s">
        <v>12</v>
      </c>
      <c r="E112" s="4">
        <v>46103</v>
      </c>
      <c r="F112" s="3">
        <v>39</v>
      </c>
      <c r="G112" s="3">
        <v>3</v>
      </c>
      <c r="H112" s="3">
        <v>1502</v>
      </c>
      <c r="I112" s="3" t="s">
        <v>53</v>
      </c>
      <c r="J112" s="3" t="str">
        <f>IFERROR(INDEX(tblRestaurants[RestaurantName],MATCH(B112,tblRestaurants[RestaurantID],0)),"Unknown")</f>
        <v>Spice Route</v>
      </c>
      <c r="K112" s="3" t="str">
        <f>IFERROR(INDEX(tblRestaurants[Category],MATCH(B112,tblRestaurants[RestaurantID],0)),"Unknown")</f>
        <v>Cloud Kitchen</v>
      </c>
    </row>
    <row r="113" spans="1:11" x14ac:dyDescent="0.3">
      <c r="A113" s="3" t="s">
        <v>167</v>
      </c>
      <c r="B113" s="3" t="s">
        <v>14</v>
      </c>
      <c r="C113" s="3" t="s">
        <v>75</v>
      </c>
      <c r="D113" s="3" t="s">
        <v>12</v>
      </c>
      <c r="E113" s="4">
        <v>46093</v>
      </c>
      <c r="F113" s="3">
        <v>21</v>
      </c>
      <c r="G113" s="3">
        <v>2</v>
      </c>
      <c r="H113" s="3">
        <v>155</v>
      </c>
      <c r="I113" s="3" t="s">
        <v>53</v>
      </c>
      <c r="J113" s="3" t="str">
        <f>IFERROR(INDEX(tblRestaurants[RestaurantName],MATCH(B113,tblRestaurants[RestaurantID],0)),"Unknown")</f>
        <v>Noodle Bar</v>
      </c>
      <c r="K113" s="3" t="str">
        <f>IFERROR(INDEX(tblRestaurants[Category],MATCH(B113,tblRestaurants[RestaurantID],0)),"Unknown")</f>
        <v>QSR</v>
      </c>
    </row>
    <row r="114" spans="1:11" x14ac:dyDescent="0.3">
      <c r="A114" s="3" t="s">
        <v>168</v>
      </c>
      <c r="B114" s="3" t="s">
        <v>28</v>
      </c>
      <c r="C114" s="3" t="s">
        <v>52</v>
      </c>
      <c r="D114" s="3" t="s">
        <v>16</v>
      </c>
      <c r="E114" s="4">
        <v>46027</v>
      </c>
      <c r="F114" s="3">
        <v>41</v>
      </c>
      <c r="G114" s="3">
        <v>3</v>
      </c>
      <c r="H114" s="3">
        <v>1597</v>
      </c>
      <c r="I114" s="3" t="s">
        <v>53</v>
      </c>
      <c r="J114" s="3" t="str">
        <f>IFERROR(INDEX(tblRestaurants[RestaurantName],MATCH(B114,tblRestaurants[RestaurantID],0)),"Unknown")</f>
        <v>El Sombrero</v>
      </c>
      <c r="K114" s="3" t="str">
        <f>IFERROR(INDEX(tblRestaurants[Category],MATCH(B114,tblRestaurants[RestaurantID],0)),"Unknown")</f>
        <v>Dine-in</v>
      </c>
    </row>
    <row r="115" spans="1:11" x14ac:dyDescent="0.3">
      <c r="A115" s="3" t="s">
        <v>169</v>
      </c>
      <c r="B115" s="3" t="s">
        <v>36</v>
      </c>
      <c r="C115" s="3" t="s">
        <v>52</v>
      </c>
      <c r="D115" s="3" t="s">
        <v>8</v>
      </c>
      <c r="E115" s="4">
        <v>46110</v>
      </c>
      <c r="F115" s="3">
        <v>41</v>
      </c>
      <c r="G115" s="3">
        <v>3</v>
      </c>
      <c r="H115" s="3">
        <v>1763</v>
      </c>
      <c r="I115" s="3" t="s">
        <v>66</v>
      </c>
      <c r="J115" s="3" t="str">
        <f>IFERROR(INDEX(tblRestaurants[RestaurantName],MATCH(B115,tblRestaurants[RestaurantID],0)),"Unknown")</f>
        <v>La Pasta</v>
      </c>
      <c r="K115" s="3" t="str">
        <f>IFERROR(INDEX(tblRestaurants[Category],MATCH(B115,tblRestaurants[RestaurantID],0)),"Unknown")</f>
        <v>QSR</v>
      </c>
    </row>
    <row r="116" spans="1:11" x14ac:dyDescent="0.3">
      <c r="A116" s="3" t="s">
        <v>170</v>
      </c>
      <c r="B116" s="3" t="s">
        <v>34</v>
      </c>
      <c r="C116" s="3" t="s">
        <v>75</v>
      </c>
      <c r="D116" s="3" t="s">
        <v>20</v>
      </c>
      <c r="E116" s="4">
        <v>46037</v>
      </c>
      <c r="F116" s="3">
        <v>40</v>
      </c>
      <c r="G116" s="3">
        <v>2</v>
      </c>
      <c r="H116" s="3">
        <v>694</v>
      </c>
      <c r="I116" s="3" t="s">
        <v>53</v>
      </c>
      <c r="J116" s="3" t="str">
        <f>IFERROR(INDEX(tblRestaurants[RestaurantName],MATCH(B116,tblRestaurants[RestaurantID],0)),"Unknown")</f>
        <v>Bombay Bites</v>
      </c>
      <c r="K116" s="3" t="str">
        <f>IFERROR(INDEX(tblRestaurants[Category],MATCH(B116,tblRestaurants[RestaurantID],0)),"Unknown")</f>
        <v>Dine-in</v>
      </c>
    </row>
    <row r="117" spans="1:11" x14ac:dyDescent="0.3">
      <c r="A117" s="3" t="s">
        <v>171</v>
      </c>
      <c r="B117" s="3" t="s">
        <v>10</v>
      </c>
      <c r="C117" s="3" t="s">
        <v>56</v>
      </c>
      <c r="D117" s="3" t="s">
        <v>12</v>
      </c>
      <c r="E117" s="4">
        <v>46062</v>
      </c>
      <c r="F117" s="3">
        <v>48</v>
      </c>
      <c r="G117" s="3">
        <v>4</v>
      </c>
      <c r="H117" s="3">
        <v>404</v>
      </c>
      <c r="I117" s="3" t="s">
        <v>58</v>
      </c>
      <c r="J117" s="3" t="str">
        <f>IFERROR(INDEX(tblRestaurants[RestaurantName],MATCH(B117,tblRestaurants[RestaurantID],0)),"Unknown")</f>
        <v>Urban Tadka</v>
      </c>
      <c r="K117" s="3" t="str">
        <f>IFERROR(INDEX(tblRestaurants[Category],MATCH(B117,tblRestaurants[RestaurantID],0)),"Unknown")</f>
        <v>Dine-in</v>
      </c>
    </row>
    <row r="118" spans="1:11" x14ac:dyDescent="0.3">
      <c r="A118" s="3" t="s">
        <v>172</v>
      </c>
      <c r="B118" s="3" t="s">
        <v>36</v>
      </c>
      <c r="C118" s="3" t="s">
        <v>60</v>
      </c>
      <c r="D118" s="3" t="s">
        <v>20</v>
      </c>
      <c r="E118" s="4">
        <v>46057</v>
      </c>
      <c r="F118" s="3">
        <v>75</v>
      </c>
      <c r="G118" s="3">
        <v>4</v>
      </c>
      <c r="H118" s="3">
        <v>314</v>
      </c>
      <c r="I118" s="3" t="s">
        <v>66</v>
      </c>
      <c r="J118" s="3" t="str">
        <f>IFERROR(INDEX(tblRestaurants[RestaurantName],MATCH(B118,tblRestaurants[RestaurantID],0)),"Unknown")</f>
        <v>La Pasta</v>
      </c>
      <c r="K118" s="3" t="str">
        <f>IFERROR(INDEX(tblRestaurants[Category],MATCH(B118,tblRestaurants[RestaurantID],0)),"Unknown")</f>
        <v>QSR</v>
      </c>
    </row>
    <row r="119" spans="1:11" x14ac:dyDescent="0.3">
      <c r="A119" s="3" t="s">
        <v>173</v>
      </c>
      <c r="B119" s="3" t="s">
        <v>6</v>
      </c>
      <c r="C119" s="3" t="s">
        <v>52</v>
      </c>
      <c r="D119" s="3" t="s">
        <v>16</v>
      </c>
      <c r="E119" s="4">
        <v>46100</v>
      </c>
      <c r="F119" s="3">
        <v>44</v>
      </c>
      <c r="G119" s="3">
        <v>1</v>
      </c>
      <c r="H119" s="3">
        <v>337</v>
      </c>
      <c r="I119" s="3" t="s">
        <v>53</v>
      </c>
      <c r="J119" s="3" t="str">
        <f>IFERROR(INDEX(tblRestaurants[RestaurantName],MATCH(B119,tblRestaurants[RestaurantID],0)),"Unknown")</f>
        <v>Spice Route</v>
      </c>
      <c r="K119" s="3" t="str">
        <f>IFERROR(INDEX(tblRestaurants[Category],MATCH(B119,tblRestaurants[RestaurantID],0)),"Unknown")</f>
        <v>Cloud Kitchen</v>
      </c>
    </row>
    <row r="120" spans="1:11" x14ac:dyDescent="0.3">
      <c r="A120" s="3" t="s">
        <v>174</v>
      </c>
      <c r="B120" s="3" t="s">
        <v>34</v>
      </c>
      <c r="C120" s="3" t="s">
        <v>56</v>
      </c>
      <c r="D120" s="3" t="s">
        <v>16</v>
      </c>
      <c r="E120" s="4">
        <v>46096</v>
      </c>
      <c r="F120" s="3">
        <v>17</v>
      </c>
      <c r="G120" s="3">
        <v>2</v>
      </c>
      <c r="H120" s="3">
        <v>1113</v>
      </c>
      <c r="I120" s="3" t="s">
        <v>58</v>
      </c>
      <c r="J120" s="3" t="str">
        <f>IFERROR(INDEX(tblRestaurants[RestaurantName],MATCH(B120,tblRestaurants[RestaurantID],0)),"Unknown")</f>
        <v>Bombay Bites</v>
      </c>
      <c r="K120" s="3" t="str">
        <f>IFERROR(INDEX(tblRestaurants[Category],MATCH(B120,tblRestaurants[RestaurantID],0)),"Unknown")</f>
        <v>Dine-in</v>
      </c>
    </row>
    <row r="121" spans="1:11" x14ac:dyDescent="0.3">
      <c r="A121" s="3" t="s">
        <v>175</v>
      </c>
      <c r="B121" s="3" t="s">
        <v>34</v>
      </c>
      <c r="C121" s="3" t="s">
        <v>52</v>
      </c>
      <c r="D121" s="3" t="s">
        <v>16</v>
      </c>
      <c r="E121" s="4">
        <v>46046</v>
      </c>
      <c r="F121" s="3">
        <v>67</v>
      </c>
      <c r="G121" s="3">
        <v>4</v>
      </c>
      <c r="H121" s="3">
        <v>336</v>
      </c>
      <c r="I121" s="3" t="s">
        <v>58</v>
      </c>
      <c r="J121" s="3" t="str">
        <f>IFERROR(INDEX(tblRestaurants[RestaurantName],MATCH(B121,tblRestaurants[RestaurantID],0)),"Unknown")</f>
        <v>Bombay Bites</v>
      </c>
      <c r="K121" s="3" t="str">
        <f>IFERROR(INDEX(tblRestaurants[Category],MATCH(B121,tblRestaurants[RestaurantID],0)),"Unknown")</f>
        <v>Dine-in</v>
      </c>
    </row>
    <row r="122" spans="1:11" x14ac:dyDescent="0.3">
      <c r="A122" s="3" t="s">
        <v>176</v>
      </c>
      <c r="B122" s="3" t="s">
        <v>24</v>
      </c>
      <c r="C122" s="3" t="s">
        <v>52</v>
      </c>
      <c r="D122" s="3" t="s">
        <v>16</v>
      </c>
      <c r="E122" s="4">
        <v>46064</v>
      </c>
      <c r="F122" s="3">
        <v>25</v>
      </c>
      <c r="G122" s="3">
        <v>2</v>
      </c>
      <c r="H122" s="3">
        <v>825</v>
      </c>
      <c r="I122" s="3" t="s">
        <v>53</v>
      </c>
      <c r="J122" s="3" t="str">
        <f>IFERROR(INDEX(tblRestaurants[RestaurantName],MATCH(B122,tblRestaurants[RestaurantID],0)),"Unknown")</f>
        <v>Curry House</v>
      </c>
      <c r="K122" s="3" t="str">
        <f>IFERROR(INDEX(tblRestaurants[Category],MATCH(B122,tblRestaurants[RestaurantID],0)),"Unknown")</f>
        <v>QSR</v>
      </c>
    </row>
    <row r="123" spans="1:11" x14ac:dyDescent="0.3">
      <c r="A123" s="3" t="s">
        <v>177</v>
      </c>
      <c r="B123" s="3" t="s">
        <v>36</v>
      </c>
      <c r="C123" s="3" t="s">
        <v>52</v>
      </c>
      <c r="D123" s="3" t="s">
        <v>16</v>
      </c>
      <c r="E123" s="4">
        <v>46107</v>
      </c>
      <c r="F123" s="3">
        <v>63</v>
      </c>
      <c r="G123" s="3">
        <v>5</v>
      </c>
      <c r="H123" s="3">
        <v>225</v>
      </c>
      <c r="I123" s="3" t="s">
        <v>58</v>
      </c>
      <c r="J123" s="3" t="str">
        <f>IFERROR(INDEX(tblRestaurants[RestaurantName],MATCH(B123,tblRestaurants[RestaurantID],0)),"Unknown")</f>
        <v>La Pasta</v>
      </c>
      <c r="K123" s="3" t="str">
        <f>IFERROR(INDEX(tblRestaurants[Category],MATCH(B123,tblRestaurants[RestaurantID],0)),"Unknown")</f>
        <v>QSR</v>
      </c>
    </row>
    <row r="124" spans="1:11" x14ac:dyDescent="0.3">
      <c r="A124" s="3" t="s">
        <v>178</v>
      </c>
      <c r="B124" s="3" t="s">
        <v>10</v>
      </c>
      <c r="C124" s="3" t="s">
        <v>60</v>
      </c>
      <c r="D124" s="3" t="s">
        <v>16</v>
      </c>
      <c r="E124" s="4">
        <v>46064</v>
      </c>
      <c r="F124" s="3">
        <v>26</v>
      </c>
      <c r="G124" s="3">
        <v>4</v>
      </c>
      <c r="H124" s="3">
        <v>1203</v>
      </c>
      <c r="I124" s="3" t="s">
        <v>53</v>
      </c>
      <c r="J124" s="3" t="str">
        <f>IFERROR(INDEX(tblRestaurants[RestaurantName],MATCH(B124,tblRestaurants[RestaurantID],0)),"Unknown")</f>
        <v>Urban Tadka</v>
      </c>
      <c r="K124" s="3" t="str">
        <f>IFERROR(INDEX(tblRestaurants[Category],MATCH(B124,tblRestaurants[RestaurantID],0)),"Unknown")</f>
        <v>Dine-in</v>
      </c>
    </row>
    <row r="125" spans="1:11" x14ac:dyDescent="0.3">
      <c r="A125" s="3" t="s">
        <v>179</v>
      </c>
      <c r="B125" s="3" t="s">
        <v>34</v>
      </c>
      <c r="C125" s="3" t="s">
        <v>52</v>
      </c>
      <c r="D125" s="3" t="s">
        <v>20</v>
      </c>
      <c r="E125" s="4">
        <v>46029</v>
      </c>
      <c r="F125" s="3">
        <v>36</v>
      </c>
      <c r="G125" s="3">
        <v>5</v>
      </c>
      <c r="H125" s="3">
        <v>890</v>
      </c>
      <c r="I125" s="3" t="s">
        <v>66</v>
      </c>
      <c r="J125" s="3" t="str">
        <f>IFERROR(INDEX(tblRestaurants[RestaurantName],MATCH(B125,tblRestaurants[RestaurantID],0)),"Unknown")</f>
        <v>Bombay Bites</v>
      </c>
      <c r="K125" s="3" t="str">
        <f>IFERROR(INDEX(tblRestaurants[Category],MATCH(B125,tblRestaurants[RestaurantID],0)),"Unknown")</f>
        <v>Dine-in</v>
      </c>
    </row>
    <row r="126" spans="1:11" x14ac:dyDescent="0.3">
      <c r="A126" s="3" t="s">
        <v>180</v>
      </c>
      <c r="B126" s="3" t="s">
        <v>38</v>
      </c>
      <c r="C126" s="3" t="s">
        <v>52</v>
      </c>
      <c r="D126" s="3" t="s">
        <v>20</v>
      </c>
      <c r="E126" s="4">
        <v>46029</v>
      </c>
      <c r="F126" s="3">
        <v>38</v>
      </c>
      <c r="G126" s="3">
        <v>3</v>
      </c>
      <c r="H126" s="3">
        <v>1274</v>
      </c>
      <c r="I126" s="3" t="s">
        <v>53</v>
      </c>
      <c r="J126" s="3" t="str">
        <f>IFERROR(INDEX(tblRestaurants[RestaurantName],MATCH(B126,tblRestaurants[RestaurantID],0)),"Unknown")</f>
        <v>Sizzling Spice</v>
      </c>
      <c r="K126" s="3" t="str">
        <f>IFERROR(INDEX(tblRestaurants[Category],MATCH(B126,tblRestaurants[RestaurantID],0)),"Unknown")</f>
        <v>Cloud Kitchen</v>
      </c>
    </row>
    <row r="127" spans="1:11" x14ac:dyDescent="0.3">
      <c r="A127" s="3" t="s">
        <v>181</v>
      </c>
      <c r="B127" s="3" t="s">
        <v>42</v>
      </c>
      <c r="C127" s="3" t="s">
        <v>60</v>
      </c>
      <c r="D127" s="3" t="s">
        <v>20</v>
      </c>
      <c r="E127" s="4">
        <v>46112</v>
      </c>
      <c r="F127" s="3">
        <v>74</v>
      </c>
      <c r="G127" s="3">
        <v>1</v>
      </c>
      <c r="H127" s="3">
        <v>209</v>
      </c>
      <c r="I127" s="3" t="s">
        <v>66</v>
      </c>
      <c r="J127" s="3" t="str">
        <f>IFERROR(INDEX(tblRestaurants[RestaurantName],MATCH(B127,tblRestaurants[RestaurantID],0)),"Unknown")</f>
        <v>Salsa Nights</v>
      </c>
      <c r="K127" s="3" t="str">
        <f>IFERROR(INDEX(tblRestaurants[Category],MATCH(B127,tblRestaurants[RestaurantID],0)),"Unknown")</f>
        <v>QSR</v>
      </c>
    </row>
    <row r="128" spans="1:11" x14ac:dyDescent="0.3">
      <c r="A128" s="3" t="s">
        <v>182</v>
      </c>
      <c r="B128" s="3" t="s">
        <v>38</v>
      </c>
      <c r="C128" s="3" t="s">
        <v>75</v>
      </c>
      <c r="D128" s="3" t="s">
        <v>12</v>
      </c>
      <c r="E128" s="4">
        <v>46062</v>
      </c>
      <c r="F128" s="3">
        <v>13</v>
      </c>
      <c r="G128" s="3">
        <v>5</v>
      </c>
      <c r="H128" s="3">
        <v>985</v>
      </c>
      <c r="I128" s="3" t="s">
        <v>53</v>
      </c>
      <c r="J128" s="3" t="str">
        <f>IFERROR(INDEX(tblRestaurants[RestaurantName],MATCH(B128,tblRestaurants[RestaurantID],0)),"Unknown")</f>
        <v>Sizzling Spice</v>
      </c>
      <c r="K128" s="3" t="str">
        <f>IFERROR(INDEX(tblRestaurants[Category],MATCH(B128,tblRestaurants[RestaurantID],0)),"Unknown")</f>
        <v>Cloud Kitchen</v>
      </c>
    </row>
    <row r="129" spans="1:11" x14ac:dyDescent="0.3">
      <c r="A129" s="3" t="s">
        <v>183</v>
      </c>
      <c r="B129" s="3" t="s">
        <v>18</v>
      </c>
      <c r="C129" s="3" t="s">
        <v>56</v>
      </c>
      <c r="D129" s="3" t="s">
        <v>20</v>
      </c>
      <c r="E129" s="4">
        <v>46038</v>
      </c>
      <c r="F129" s="3">
        <v>31</v>
      </c>
      <c r="G129" s="3">
        <v>4</v>
      </c>
      <c r="H129" s="3">
        <v>1617</v>
      </c>
      <c r="I129" s="3" t="s">
        <v>53</v>
      </c>
      <c r="J129" s="3" t="str">
        <f>IFERROR(INDEX(tblRestaurants[RestaurantName],MATCH(B129,tblRestaurants[RestaurantID],0)),"Unknown")</f>
        <v>Taco Fiesta</v>
      </c>
      <c r="K129" s="3" t="str">
        <f>IFERROR(INDEX(tblRestaurants[Category],MATCH(B129,tblRestaurants[RestaurantID],0)),"Unknown")</f>
        <v>Cloud Kitchen</v>
      </c>
    </row>
    <row r="130" spans="1:11" x14ac:dyDescent="0.3">
      <c r="A130" s="3" t="s">
        <v>184</v>
      </c>
      <c r="B130" s="3" t="s">
        <v>30</v>
      </c>
      <c r="C130" s="3" t="s">
        <v>60</v>
      </c>
      <c r="D130" s="3" t="s">
        <v>20</v>
      </c>
      <c r="E130" s="4">
        <v>46084</v>
      </c>
      <c r="F130" s="3">
        <v>72</v>
      </c>
      <c r="G130" s="3">
        <v>2</v>
      </c>
      <c r="H130" s="3">
        <v>1085</v>
      </c>
      <c r="I130" s="3" t="s">
        <v>58</v>
      </c>
      <c r="J130" s="3" t="str">
        <f>IFERROR(INDEX(tblRestaurants[RestaurantName],MATCH(B130,tblRestaurants[RestaurantID],0)),"Unknown")</f>
        <v>Roma's Kitchen</v>
      </c>
      <c r="K130" s="3" t="str">
        <f>IFERROR(INDEX(tblRestaurants[Category],MATCH(B130,tblRestaurants[RestaurantID],0)),"Unknown")</f>
        <v>QSR</v>
      </c>
    </row>
    <row r="131" spans="1:11" x14ac:dyDescent="0.3">
      <c r="A131" s="3" t="s">
        <v>185</v>
      </c>
      <c r="B131" s="3" t="s">
        <v>14</v>
      </c>
      <c r="C131" s="3" t="s">
        <v>52</v>
      </c>
      <c r="D131" s="3" t="s">
        <v>12</v>
      </c>
      <c r="E131" s="4">
        <v>46099</v>
      </c>
      <c r="F131" s="3">
        <v>29</v>
      </c>
      <c r="G131" s="3">
        <v>1</v>
      </c>
      <c r="H131" s="3">
        <v>715</v>
      </c>
      <c r="I131" s="3" t="s">
        <v>53</v>
      </c>
      <c r="J131" s="3" t="str">
        <f>IFERROR(INDEX(tblRestaurants[RestaurantName],MATCH(B131,tblRestaurants[RestaurantID],0)),"Unknown")</f>
        <v>Noodle Bar</v>
      </c>
      <c r="K131" s="3" t="str">
        <f>IFERROR(INDEX(tblRestaurants[Category],MATCH(B131,tblRestaurants[RestaurantID],0)),"Unknown")</f>
        <v>QSR</v>
      </c>
    </row>
    <row r="132" spans="1:11" x14ac:dyDescent="0.3">
      <c r="A132" s="3" t="s">
        <v>186</v>
      </c>
      <c r="B132" s="3" t="s">
        <v>24</v>
      </c>
      <c r="C132" s="3" t="s">
        <v>60</v>
      </c>
      <c r="D132" s="3" t="s">
        <v>8</v>
      </c>
      <c r="E132" s="4">
        <v>46059</v>
      </c>
      <c r="F132" s="3">
        <v>50</v>
      </c>
      <c r="G132" s="3">
        <v>5</v>
      </c>
      <c r="H132" s="3">
        <v>1337</v>
      </c>
      <c r="I132" s="3" t="s">
        <v>58</v>
      </c>
      <c r="J132" s="3" t="str">
        <f>IFERROR(INDEX(tblRestaurants[RestaurantName],MATCH(B132,tblRestaurants[RestaurantID],0)),"Unknown")</f>
        <v>Curry House</v>
      </c>
      <c r="K132" s="3" t="str">
        <f>IFERROR(INDEX(tblRestaurants[Category],MATCH(B132,tblRestaurants[RestaurantID],0)),"Unknown")</f>
        <v>QSR</v>
      </c>
    </row>
    <row r="133" spans="1:11" x14ac:dyDescent="0.3">
      <c r="A133" s="3" t="s">
        <v>187</v>
      </c>
      <c r="B133" s="3" t="s">
        <v>40</v>
      </c>
      <c r="C133" s="3" t="s">
        <v>75</v>
      </c>
      <c r="D133" s="3" t="s">
        <v>20</v>
      </c>
      <c r="E133" s="4">
        <v>46091</v>
      </c>
      <c r="F133" s="3">
        <v>73</v>
      </c>
      <c r="G133" s="3">
        <v>3</v>
      </c>
      <c r="H133" s="3">
        <v>830</v>
      </c>
      <c r="I133" s="3" t="s">
        <v>58</v>
      </c>
      <c r="J133" s="3" t="str">
        <f>IFERROR(INDEX(tblRestaurants[RestaurantName],MATCH(B133,tblRestaurants[RestaurantID],0)),"Unknown")</f>
        <v>Green Chilli</v>
      </c>
      <c r="K133" s="3" t="str">
        <f>IFERROR(INDEX(tblRestaurants[Category],MATCH(B133,tblRestaurants[RestaurantID],0)),"Unknown")</f>
        <v>Dine-in</v>
      </c>
    </row>
    <row r="135" spans="1:11" ht="30" customHeight="1" x14ac:dyDescent="0.3">
      <c r="A135" s="18" t="s">
        <v>188</v>
      </c>
      <c r="B135" s="18"/>
      <c r="C135" s="18"/>
      <c r="D135" s="18"/>
      <c r="E135" s="18"/>
      <c r="F135" s="18"/>
      <c r="G135" s="18"/>
      <c r="H135" s="18"/>
      <c r="I135" s="18"/>
      <c r="J135" s="18"/>
      <c r="K135" s="18"/>
    </row>
  </sheetData>
  <mergeCells count="2">
    <mergeCell ref="A1:K1"/>
    <mergeCell ref="A135:K135"/>
  </mergeCells>
  <conditionalFormatting sqref="H4:H133">
    <cfRule type="top10" dxfId="1" priority="2" percent="1" rank="10"/>
  </conditionalFormatting>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Normal="100" workbookViewId="0">
      <selection activeCell="B7" sqref="B7"/>
    </sheetView>
  </sheetViews>
  <sheetFormatPr defaultColWidth="8.6640625" defaultRowHeight="14.4" x14ac:dyDescent="0.3"/>
  <cols>
    <col min="1" max="1" width="11" customWidth="1"/>
    <col min="2" max="2" width="17" customWidth="1"/>
    <col min="3" max="3" width="18" customWidth="1"/>
    <col min="4" max="4" width="17" customWidth="1"/>
    <col min="5" max="5" width="14" customWidth="1"/>
    <col min="6" max="6" width="15" customWidth="1"/>
    <col min="7" max="7" width="14" customWidth="1"/>
    <col min="8" max="8" width="30" customWidth="1"/>
  </cols>
  <sheetData>
    <row r="1" spans="1:8" ht="19.2" x14ac:dyDescent="0.35">
      <c r="A1" s="17" t="s">
        <v>189</v>
      </c>
      <c r="B1" s="17"/>
      <c r="C1" s="17"/>
      <c r="D1" s="17"/>
      <c r="E1" s="17"/>
      <c r="F1" s="17"/>
      <c r="G1" s="17"/>
      <c r="H1" s="17"/>
    </row>
    <row r="3" spans="1:8" x14ac:dyDescent="0.3">
      <c r="A3" s="2" t="s">
        <v>3</v>
      </c>
      <c r="B3" s="2" t="s">
        <v>190</v>
      </c>
      <c r="C3" s="2" t="s">
        <v>191</v>
      </c>
      <c r="D3" s="2" t="s">
        <v>192</v>
      </c>
      <c r="E3" s="2" t="s">
        <v>193</v>
      </c>
      <c r="F3" s="2" t="s">
        <v>194</v>
      </c>
      <c r="G3" s="2" t="s">
        <v>195</v>
      </c>
      <c r="H3" s="2" t="s">
        <v>196</v>
      </c>
    </row>
    <row r="4" spans="1:8" x14ac:dyDescent="0.3">
      <c r="A4" s="3" t="s">
        <v>8</v>
      </c>
      <c r="B4" s="5">
        <f>AVERAGEIF(Orders!$D$4:$D$133,A4,Orders!$F$4:$F$133)</f>
        <v>44</v>
      </c>
      <c r="C4" s="5">
        <f t="array" ref="C4">MEDIAN(IF(Orders!$D$4:$D$133=A4,Orders!$F$4:$F$133))</f>
        <v>45</v>
      </c>
      <c r="D4" s="5">
        <f t="array" ref="D4">STDEV(IF(Orders!$D$4:$D$133=A4,Orders!$F$4:$F$133))</f>
        <v>16.506197183317102</v>
      </c>
      <c r="E4" s="6">
        <f>AVERAGEIF(Orders!$D$4:$D$133,A4,Orders!$H$4:$H$133)</f>
        <v>1023.4347826086956</v>
      </c>
      <c r="F4" s="6">
        <f t="array" ref="F4">MEDIAN(IF(Orders!$D$4:$D$133=A4,Orders!$H$4:$H$133))</f>
        <v>1010</v>
      </c>
      <c r="G4" s="6">
        <f t="array" ref="G4">STDEV(IF(Orders!$D$4:$D$133=A4,Orders!$H$4:$H$133))</f>
        <v>524.92370234219038</v>
      </c>
      <c r="H4" s="3" t="str">
        <f>IF(B4&gt;$B10,"Yes - Above Median","No")</f>
        <v>Yes - Above Median</v>
      </c>
    </row>
    <row r="5" spans="1:8" x14ac:dyDescent="0.3">
      <c r="A5" s="3" t="s">
        <v>12</v>
      </c>
      <c r="B5" s="5">
        <f>AVERAGEIF(Orders!$D$4:$D$133,A5,Orders!$F$4:$F$133)</f>
        <v>39.269230769230766</v>
      </c>
      <c r="C5" s="5">
        <f t="array" ref="C5">MEDIAN(IF(Orders!$D$4:$D$133=A5,Orders!$F$4:$F$133))</f>
        <v>40.5</v>
      </c>
      <c r="D5" s="5">
        <f t="array" ref="D5">STDEV(IF(Orders!$D$4:$D$133=A5,Orders!$F$4:$F$133))</f>
        <v>17.455217425876292</v>
      </c>
      <c r="E5" s="6">
        <f>AVERAGEIF(Orders!$D$4:$D$133,A5,Orders!$H$4:$H$133)</f>
        <v>1049.1153846153845</v>
      </c>
      <c r="F5" s="6">
        <f t="array" ref="F5">MEDIAN(IF(Orders!$D$4:$D$133=A5,Orders!$H$4:$H$133))</f>
        <v>1012.5</v>
      </c>
      <c r="G5" s="6">
        <f t="array" ref="G5">STDEV(IF(Orders!$D$4:$D$133=A5,Orders!$H$4:$H$133))</f>
        <v>461.6552243328847</v>
      </c>
      <c r="H5" s="3" t="str">
        <f>IF(B5&gt;$B10,"Yes - Above Median","No")</f>
        <v>No</v>
      </c>
    </row>
    <row r="6" spans="1:8" x14ac:dyDescent="0.3">
      <c r="A6" s="3" t="s">
        <v>16</v>
      </c>
      <c r="B6" s="5">
        <f>AVERAGEIF(Orders!$D$4:$D$133,A6,Orders!$F$4:$F$133)</f>
        <v>42.733333333333334</v>
      </c>
      <c r="C6" s="5">
        <f t="array" ref="C6">MEDIAN(IF(Orders!$D$4:$D$133=A6,Orders!$F$4:$F$133))</f>
        <v>44</v>
      </c>
      <c r="D6" s="5">
        <f t="array" ref="D6">STDEV(IF(Orders!$D$4:$D$133=A6,Orders!$F$4:$F$133))</f>
        <v>17.820819543315128</v>
      </c>
      <c r="E6" s="6">
        <f>AVERAGEIF(Orders!$D$4:$D$133,A6,Orders!$H$4:$H$133)</f>
        <v>993.43333333333328</v>
      </c>
      <c r="F6" s="6">
        <f t="array" ref="F6">MEDIAN(IF(Orders!$D$4:$D$133=A6,Orders!$H$4:$H$133))</f>
        <v>1085</v>
      </c>
      <c r="G6" s="6">
        <f t="array" ref="G6">STDEV(IF(Orders!$D$4:$D$133=A6,Orders!$H$4:$H$133))</f>
        <v>480.34460929436995</v>
      </c>
      <c r="H6" s="3" t="str">
        <f>IF(B6&gt;$B10,"Yes - Above Median","No")</f>
        <v>Yes - Above Median</v>
      </c>
    </row>
    <row r="7" spans="1:8" x14ac:dyDescent="0.3">
      <c r="A7" s="3" t="s">
        <v>20</v>
      </c>
      <c r="B7" s="5">
        <f>AVERAGEIF(Orders!$D$4:$D$133,A7,Orders!$F$4:$F$133)</f>
        <v>44.703703703703702</v>
      </c>
      <c r="C7" s="5">
        <f t="array" ref="C7">MEDIAN(IF(Orders!$D$4:$D$133=A7,Orders!$F$4:$F$133))</f>
        <v>40</v>
      </c>
      <c r="D7" s="5">
        <f t="array" ref="D7">STDEV(IF(Orders!$D$4:$D$133=A7,Orders!$F$4:$F$133))</f>
        <v>19.471507418266338</v>
      </c>
      <c r="E7" s="6">
        <f>AVERAGEIF(Orders!$D$4:$D$133,A7,Orders!$H$4:$H$133)</f>
        <v>1044.2222222222222</v>
      </c>
      <c r="F7" s="6">
        <f t="array" ref="F7">MEDIAN(IF(Orders!$D$4:$D$133=A7,Orders!$H$4:$H$133))</f>
        <v>1085</v>
      </c>
      <c r="G7" s="6">
        <f t="array" ref="G7">STDEV(IF(Orders!$D$4:$D$133=A7,Orders!$H$4:$H$133))</f>
        <v>479.2531315521727</v>
      </c>
      <c r="H7" s="3" t="str">
        <f>IF(B7&gt;$B10,"Yes - Above Median","No")</f>
        <v>Yes - Above Median</v>
      </c>
    </row>
    <row r="8" spans="1:8" x14ac:dyDescent="0.3">
      <c r="A8" s="3" t="s">
        <v>23</v>
      </c>
      <c r="B8" s="5">
        <f>AVERAGEIF(Orders!$D$4:$D$133,A8,Orders!$F$4:$F$133)</f>
        <v>41.166666666666664</v>
      </c>
      <c r="C8" s="5">
        <f t="array" ref="C8">MEDIAN(IF(Orders!$D$4:$D$133=A8,Orders!$F$4:$F$133))</f>
        <v>38</v>
      </c>
      <c r="D8" s="5">
        <f t="array" ref="D8">STDEV(IF(Orders!$D$4:$D$133=A8,Orders!$F$4:$F$133))</f>
        <v>20.378306169032811</v>
      </c>
      <c r="E8" s="6">
        <f>AVERAGEIF(Orders!$D$4:$D$133,A8,Orders!$H$4:$H$133)</f>
        <v>1050.2916666666667</v>
      </c>
      <c r="F8" s="6">
        <f t="array" ref="F8">MEDIAN(IF(Orders!$D$4:$D$133=A8,Orders!$H$4:$H$133))</f>
        <v>1042.5</v>
      </c>
      <c r="G8" s="6">
        <f t="array" ref="G8">STDEV(IF(Orders!$D$4:$D$133=A8,Orders!$H$4:$H$133))</f>
        <v>542.79690165777049</v>
      </c>
      <c r="H8" s="3" t="str">
        <f>IF(B8&gt;$B10,"Yes - Above Median","No")</f>
        <v>No</v>
      </c>
    </row>
    <row r="10" spans="1:8" x14ac:dyDescent="0.3">
      <c r="A10" s="7" t="s">
        <v>197</v>
      </c>
      <c r="B10" s="8">
        <f>MEDIAN(Orders!$F$4:$F$133)</f>
        <v>42</v>
      </c>
    </row>
    <row r="12" spans="1:8" x14ac:dyDescent="0.3">
      <c r="A12" s="18"/>
      <c r="B12" s="18"/>
      <c r="C12" s="18"/>
      <c r="D12" s="18"/>
      <c r="E12" s="18"/>
      <c r="F12" s="18"/>
      <c r="G12" s="18"/>
      <c r="H12" s="18"/>
    </row>
  </sheetData>
  <mergeCells count="2">
    <mergeCell ref="A1:H1"/>
    <mergeCell ref="A12:H12"/>
  </mergeCells>
  <conditionalFormatting sqref="H4:H8">
    <cfRule type="cellIs" dxfId="0" priority="2" operator="equal">
      <formula>"Yes - Above Median"</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4607-BC7F-461D-BDA4-965B8A694020}">
  <dimension ref="A1:L9"/>
  <sheetViews>
    <sheetView tabSelected="1" workbookViewId="0">
      <selection activeCell="S18" sqref="S18"/>
    </sheetView>
  </sheetViews>
  <sheetFormatPr defaultRowHeight="14.4" x14ac:dyDescent="0.3"/>
  <cols>
    <col min="1" max="1" width="14.88671875" bestFit="1" customWidth="1"/>
    <col min="2" max="2" width="15.5546875" bestFit="1" customWidth="1"/>
    <col min="3" max="3" width="10.77734375" bestFit="1" customWidth="1"/>
    <col min="4" max="4" width="6" bestFit="1" customWidth="1"/>
    <col min="5" max="5" width="12.5546875" bestFit="1" customWidth="1"/>
    <col min="6" max="6" width="15.44140625" bestFit="1" customWidth="1"/>
    <col min="7" max="7" width="10.77734375" bestFit="1" customWidth="1"/>
  </cols>
  <sheetData>
    <row r="1" spans="1:12" x14ac:dyDescent="0.3">
      <c r="A1" s="15" t="s">
        <v>198</v>
      </c>
      <c r="B1" s="16"/>
      <c r="C1" s="16"/>
      <c r="D1" s="16"/>
      <c r="E1" s="16"/>
      <c r="F1" s="16"/>
      <c r="G1" s="16"/>
      <c r="H1" s="16"/>
      <c r="I1" s="16"/>
      <c r="J1" s="16"/>
      <c r="K1" s="16"/>
      <c r="L1" s="16"/>
    </row>
    <row r="2" spans="1:12" x14ac:dyDescent="0.3">
      <c r="A2" s="16"/>
      <c r="B2" s="16"/>
      <c r="C2" s="16"/>
      <c r="D2" s="16"/>
      <c r="E2" s="16"/>
      <c r="F2" s="16"/>
      <c r="G2" s="16"/>
      <c r="H2" s="16"/>
      <c r="I2" s="16"/>
      <c r="J2" s="16"/>
      <c r="K2" s="16"/>
      <c r="L2" s="16"/>
    </row>
    <row r="3" spans="1:12" x14ac:dyDescent="0.3">
      <c r="A3" s="12" t="s">
        <v>216</v>
      </c>
      <c r="B3" s="12" t="s">
        <v>215</v>
      </c>
      <c r="E3" s="12" t="s">
        <v>214</v>
      </c>
      <c r="F3" t="s">
        <v>220</v>
      </c>
    </row>
    <row r="4" spans="1:12" x14ac:dyDescent="0.3">
      <c r="A4" s="12" t="s">
        <v>214</v>
      </c>
      <c r="B4" t="s">
        <v>23</v>
      </c>
      <c r="C4" t="s">
        <v>206</v>
      </c>
      <c r="E4" s="13" t="s">
        <v>217</v>
      </c>
      <c r="F4" s="24">
        <v>10</v>
      </c>
    </row>
    <row r="5" spans="1:12" x14ac:dyDescent="0.3">
      <c r="A5" s="13" t="s">
        <v>75</v>
      </c>
      <c r="B5" s="24">
        <v>4468</v>
      </c>
      <c r="C5" s="24">
        <v>4468</v>
      </c>
      <c r="D5" s="14"/>
      <c r="E5" s="13" t="s">
        <v>218</v>
      </c>
      <c r="F5" s="24">
        <v>4</v>
      </c>
    </row>
    <row r="6" spans="1:12" x14ac:dyDescent="0.3">
      <c r="A6" s="13" t="s">
        <v>56</v>
      </c>
      <c r="B6" s="24">
        <v>8030</v>
      </c>
      <c r="C6" s="24">
        <v>8030</v>
      </c>
      <c r="E6" s="13" t="s">
        <v>219</v>
      </c>
      <c r="F6" s="24">
        <v>10</v>
      </c>
    </row>
    <row r="7" spans="1:12" x14ac:dyDescent="0.3">
      <c r="A7" s="13" t="s">
        <v>60</v>
      </c>
      <c r="B7" s="24">
        <v>8142</v>
      </c>
      <c r="C7" s="24">
        <v>8142</v>
      </c>
      <c r="E7" s="13" t="s">
        <v>206</v>
      </c>
      <c r="F7" s="24">
        <v>24</v>
      </c>
    </row>
    <row r="8" spans="1:12" x14ac:dyDescent="0.3">
      <c r="A8" s="13" t="s">
        <v>52</v>
      </c>
      <c r="B8" s="24">
        <v>4567</v>
      </c>
      <c r="C8" s="24">
        <v>4567</v>
      </c>
    </row>
    <row r="9" spans="1:12" x14ac:dyDescent="0.3">
      <c r="A9" s="13" t="s">
        <v>206</v>
      </c>
      <c r="B9" s="24">
        <v>25207</v>
      </c>
      <c r="C9" s="24">
        <v>25207</v>
      </c>
    </row>
  </sheetData>
  <mergeCells count="1">
    <mergeCell ref="A1:L2"/>
  </mergeCells>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zoomScaleNormal="100" workbookViewId="0">
      <selection activeCell="F3" sqref="F3"/>
    </sheetView>
  </sheetViews>
  <sheetFormatPr defaultColWidth="8.6640625" defaultRowHeight="14.4" x14ac:dyDescent="0.3"/>
  <cols>
    <col min="1" max="1" width="16" customWidth="1"/>
    <col min="2" max="9" width="13" customWidth="1"/>
    <col min="10" max="10" width="15" customWidth="1"/>
  </cols>
  <sheetData>
    <row r="1" spans="1:12" ht="22.8" x14ac:dyDescent="0.4">
      <c r="A1" s="22" t="s">
        <v>198</v>
      </c>
      <c r="B1" s="22"/>
      <c r="C1" s="22"/>
      <c r="D1" s="22"/>
      <c r="E1" s="22"/>
      <c r="F1" s="22"/>
      <c r="G1" s="22"/>
      <c r="H1" s="22"/>
      <c r="I1" s="22"/>
      <c r="J1" s="22"/>
      <c r="K1" s="22"/>
      <c r="L1" s="22"/>
    </row>
    <row r="2" spans="1:12" x14ac:dyDescent="0.3">
      <c r="A2" s="18"/>
      <c r="B2" s="18"/>
      <c r="C2" s="18"/>
      <c r="D2" s="18"/>
      <c r="E2" s="18"/>
      <c r="F2" s="18"/>
      <c r="G2" s="18"/>
      <c r="H2" s="18"/>
      <c r="I2" s="18"/>
      <c r="J2" s="18"/>
      <c r="K2" s="18"/>
      <c r="L2" s="18"/>
    </row>
    <row r="4" spans="1:12" x14ac:dyDescent="0.3">
      <c r="A4" s="7" t="s">
        <v>199</v>
      </c>
      <c r="B4" s="9" t="s">
        <v>200</v>
      </c>
      <c r="D4" s="7" t="s">
        <v>201</v>
      </c>
      <c r="E4" s="9" t="s">
        <v>200</v>
      </c>
    </row>
    <row r="6" spans="1:12" x14ac:dyDescent="0.3">
      <c r="A6" s="23" t="s">
        <v>202</v>
      </c>
      <c r="B6" s="23"/>
      <c r="C6" s="23"/>
      <c r="E6" s="23" t="s">
        <v>203</v>
      </c>
      <c r="F6" s="23"/>
      <c r="G6" s="23"/>
      <c r="I6" s="23" t="s">
        <v>204</v>
      </c>
      <c r="J6" s="23"/>
      <c r="K6" s="23"/>
    </row>
    <row r="7" spans="1:12" x14ac:dyDescent="0.3">
      <c r="A7" s="19">
        <f>SUMIFS(Orders!$H$4:$H$133,Orders!$D$4:$D$133,IF($B$4="All","*",$B$4),Orders!$I$4:$I$133,IF($E$4="All","*",$E$4))</f>
        <v>134020</v>
      </c>
      <c r="B7" s="19"/>
      <c r="C7" s="19"/>
      <c r="E7" s="20">
        <f>AVERAGEIFS(Orders!$G$4:$G$133,Orders!$D$4:$D$133,IF($B$4="All","*",$B$4),Orders!$I$4:$I$133,IF($E$4="All","*",$E$4))</f>
        <v>3.1538461538461537</v>
      </c>
      <c r="F7" s="20"/>
      <c r="G7" s="20"/>
      <c r="I7" s="21">
        <f>COUNTIFS(Orders!$I$4:$I$133,"Delivered",Orders!$F$4:$F$133,"&lt;=40",Orders!$D$4:$D$133,IF($B$4="All","*",$B$4))/COUNTIFS(Orders!$D$4:$D$133,IF($B$4="All","*",$B$4))</f>
        <v>0.33076923076923076</v>
      </c>
      <c r="J7" s="21"/>
      <c r="K7" s="21"/>
    </row>
    <row r="8" spans="1:12" x14ac:dyDescent="0.3">
      <c r="A8" s="19"/>
      <c r="B8" s="19"/>
      <c r="C8" s="19"/>
      <c r="E8" s="20"/>
      <c r="F8" s="20"/>
      <c r="G8" s="20"/>
      <c r="I8" s="21"/>
      <c r="J8" s="21"/>
      <c r="K8" s="21"/>
    </row>
    <row r="11" spans="1:12" x14ac:dyDescent="0.3">
      <c r="A11" s="7" t="s">
        <v>205</v>
      </c>
    </row>
    <row r="12" spans="1:12" x14ac:dyDescent="0.3">
      <c r="A12" s="2" t="s">
        <v>45</v>
      </c>
      <c r="B12" s="2" t="s">
        <v>8</v>
      </c>
      <c r="C12" s="2" t="s">
        <v>12</v>
      </c>
      <c r="D12" s="2" t="s">
        <v>16</v>
      </c>
      <c r="E12" s="2" t="s">
        <v>20</v>
      </c>
      <c r="F12" s="2" t="s">
        <v>23</v>
      </c>
      <c r="G12" s="2" t="s">
        <v>206</v>
      </c>
      <c r="I12" s="7" t="s">
        <v>207</v>
      </c>
    </row>
    <row r="13" spans="1:12" x14ac:dyDescent="0.3">
      <c r="A13" s="3" t="s">
        <v>56</v>
      </c>
      <c r="B13" s="6">
        <f>SUMIFS(Orders!$H$4:$H$133,Orders!$C$4:$C$133,$A13,Orders!$D$4:$D$133,B$12,Orders!$I$4:$I$133,IF($E$4="All","*",$E$4))</f>
        <v>2251</v>
      </c>
      <c r="C13" s="6">
        <f>SUMIFS(Orders!$H$4:$H$133,Orders!$C$4:$C$133,$A13,Orders!$D$4:$D$133,C$12,Orders!$I$4:$I$133,IF($E$4="All","*",$E$4))</f>
        <v>6521</v>
      </c>
      <c r="D13" s="6">
        <f>SUMIFS(Orders!$H$4:$H$133,Orders!$C$4:$C$133,$A13,Orders!$D$4:$D$133,D$12,Orders!$I$4:$I$133,IF($E$4="All","*",$E$4))</f>
        <v>4207</v>
      </c>
      <c r="E13" s="6">
        <f>SUMIFS(Orders!$H$4:$H$133,Orders!$C$4:$C$133,$A13,Orders!$D$4:$D$133,E$12,Orders!$I$4:$I$133,IF($E$4="All","*",$E$4))</f>
        <v>6094</v>
      </c>
      <c r="F13" s="6">
        <f>SUMIFS(Orders!$H$4:$H$133,Orders!$C$4:$C$133,$A13,Orders!$D$4:$D$133,F$12,Orders!$I$4:$I$133,IF($E$4="All","*",$E$4))</f>
        <v>8030</v>
      </c>
      <c r="G13" s="10">
        <f>SUM(B13:F13)</f>
        <v>27103</v>
      </c>
      <c r="I13" s="2" t="s">
        <v>208</v>
      </c>
      <c r="J13" s="2" t="s">
        <v>209</v>
      </c>
    </row>
    <row r="14" spans="1:12" x14ac:dyDescent="0.3">
      <c r="A14" s="3" t="s">
        <v>75</v>
      </c>
      <c r="B14" s="6">
        <f>SUMIFS(Orders!$H$4:$H$133,Orders!$C$4:$C$133,$A14,Orders!$D$4:$D$133,B$12,Orders!$I$4:$I$133,IF($E$4="All","*",$E$4))</f>
        <v>2818</v>
      </c>
      <c r="C14" s="6">
        <f>SUMIFS(Orders!$H$4:$H$133,Orders!$C$4:$C$133,$A14,Orders!$D$4:$D$133,C$12,Orders!$I$4:$I$133,IF($E$4="All","*",$E$4))</f>
        <v>5065</v>
      </c>
      <c r="D14" s="6">
        <f>SUMIFS(Orders!$H$4:$H$133,Orders!$C$4:$C$133,$A14,Orders!$D$4:$D$133,D$12,Orders!$I$4:$I$133,IF($E$4="All","*",$E$4))</f>
        <v>9829</v>
      </c>
      <c r="E14" s="6">
        <f>SUMIFS(Orders!$H$4:$H$133,Orders!$C$4:$C$133,$A14,Orders!$D$4:$D$133,E$12,Orders!$I$4:$I$133,IF($E$4="All","*",$E$4))</f>
        <v>4925</v>
      </c>
      <c r="F14" s="6">
        <f>SUMIFS(Orders!$H$4:$H$133,Orders!$C$4:$C$133,$A14,Orders!$D$4:$D$133,F$12,Orders!$I$4:$I$133,IF($E$4="All","*",$E$4))</f>
        <v>4468</v>
      </c>
      <c r="G14" s="10">
        <f>SUM(B14:F14)</f>
        <v>27105</v>
      </c>
      <c r="I14" s="3" t="s">
        <v>210</v>
      </c>
      <c r="J14" s="3">
        <f>SUMPRODUCT((TEXT(Orders!$E$4:$E$133,"YYYY-MM")=I14)*((Orders!$D$4:$D$133=IF($B$4="All",Orders!$D$4:$D$133,$B$4))))</f>
        <v>49</v>
      </c>
    </row>
    <row r="15" spans="1:12" x14ac:dyDescent="0.3">
      <c r="A15" s="3" t="s">
        <v>60</v>
      </c>
      <c r="B15" s="6">
        <f>SUMIFS(Orders!$H$4:$H$133,Orders!$C$4:$C$133,$A15,Orders!$D$4:$D$133,B$12,Orders!$I$4:$I$133,IF($E$4="All","*",$E$4))</f>
        <v>9081</v>
      </c>
      <c r="C15" s="6">
        <f>SUMIFS(Orders!$H$4:$H$133,Orders!$C$4:$C$133,$A15,Orders!$D$4:$D$133,C$12,Orders!$I$4:$I$133,IF($E$4="All","*",$E$4))</f>
        <v>10109</v>
      </c>
      <c r="D15" s="6">
        <f>SUMIFS(Orders!$H$4:$H$133,Orders!$C$4:$C$133,$A15,Orders!$D$4:$D$133,D$12,Orders!$I$4:$I$133,IF($E$4="All","*",$E$4))</f>
        <v>5418</v>
      </c>
      <c r="E15" s="6">
        <f>SUMIFS(Orders!$H$4:$H$133,Orders!$C$4:$C$133,$A15,Orders!$D$4:$D$133,E$12,Orders!$I$4:$I$133,IF($E$4="All","*",$E$4))</f>
        <v>7914</v>
      </c>
      <c r="F15" s="6">
        <f>SUMIFS(Orders!$H$4:$H$133,Orders!$C$4:$C$133,$A15,Orders!$D$4:$D$133,F$12,Orders!$I$4:$I$133,IF($E$4="All","*",$E$4))</f>
        <v>8142</v>
      </c>
      <c r="G15" s="10">
        <f>SUM(B15:F15)</f>
        <v>40664</v>
      </c>
      <c r="I15" s="3" t="s">
        <v>211</v>
      </c>
      <c r="J15" s="3">
        <f>SUMPRODUCT((TEXT(Orders!$E$4:$E$133,"YYYY-MM")=I15)*((Orders!$D$4:$D$133=IF($B$4="All",Orders!$D$4:$D$133,$B$4))))</f>
        <v>36</v>
      </c>
    </row>
    <row r="16" spans="1:12" x14ac:dyDescent="0.3">
      <c r="A16" s="3" t="s">
        <v>52</v>
      </c>
      <c r="B16" s="6">
        <f>SUMIFS(Orders!$H$4:$H$133,Orders!$C$4:$C$133,$A16,Orders!$D$4:$D$133,B$12,Orders!$I$4:$I$133,IF($E$4="All","*",$E$4))</f>
        <v>9389</v>
      </c>
      <c r="C16" s="6">
        <f>SUMIFS(Orders!$H$4:$H$133,Orders!$C$4:$C$133,$A16,Orders!$D$4:$D$133,C$12,Orders!$I$4:$I$133,IF($E$4="All","*",$E$4))</f>
        <v>5582</v>
      </c>
      <c r="D16" s="6">
        <f>SUMIFS(Orders!$H$4:$H$133,Orders!$C$4:$C$133,$A16,Orders!$D$4:$D$133,D$12,Orders!$I$4:$I$133,IF($E$4="All","*",$E$4))</f>
        <v>10349</v>
      </c>
      <c r="E16" s="6">
        <f>SUMIFS(Orders!$H$4:$H$133,Orders!$C$4:$C$133,$A16,Orders!$D$4:$D$133,E$12,Orders!$I$4:$I$133,IF($E$4="All","*",$E$4))</f>
        <v>9261</v>
      </c>
      <c r="F16" s="6">
        <f>SUMIFS(Orders!$H$4:$H$133,Orders!$C$4:$C$133,$A16,Orders!$D$4:$D$133,F$12,Orders!$I$4:$I$133,IF($E$4="All","*",$E$4))</f>
        <v>4567</v>
      </c>
      <c r="G16" s="10">
        <f>SUM(B16:F16)</f>
        <v>39148</v>
      </c>
      <c r="I16" s="3" t="s">
        <v>212</v>
      </c>
      <c r="J16" s="3">
        <f>SUMPRODUCT((TEXT(Orders!$E$4:$E$133,"YYYY-MM")=I16)*((Orders!$D$4:$D$133=IF($B$4="All",Orders!$D$4:$D$133,$B$4))))</f>
        <v>45</v>
      </c>
    </row>
    <row r="17" spans="1:7" x14ac:dyDescent="0.3">
      <c r="A17" s="11" t="s">
        <v>206</v>
      </c>
      <c r="B17" s="10">
        <f t="shared" ref="B17:G17" si="0">SUM(B13:B16)</f>
        <v>23539</v>
      </c>
      <c r="C17" s="10">
        <f t="shared" si="0"/>
        <v>27277</v>
      </c>
      <c r="D17" s="10">
        <f t="shared" si="0"/>
        <v>29803</v>
      </c>
      <c r="E17" s="10">
        <f t="shared" si="0"/>
        <v>28194</v>
      </c>
      <c r="F17" s="10">
        <f t="shared" si="0"/>
        <v>25207</v>
      </c>
      <c r="G17" s="10">
        <f t="shared" si="0"/>
        <v>134020</v>
      </c>
    </row>
    <row r="37" spans="1:2" x14ac:dyDescent="0.3">
      <c r="A37" s="7" t="s">
        <v>207</v>
      </c>
    </row>
    <row r="38" spans="1:2" x14ac:dyDescent="0.3">
      <c r="A38" s="2" t="s">
        <v>208</v>
      </c>
      <c r="B38" s="2" t="s">
        <v>209</v>
      </c>
    </row>
    <row r="39" spans="1:2" x14ac:dyDescent="0.3">
      <c r="A39" s="3" t="s">
        <v>210</v>
      </c>
      <c r="B39" s="3">
        <f>SUMPRODUCT((TEXT(Orders!$E$4:$E$133,"YYYY-MM")=A39)*((Orders!$D$4:$D$133=IF($B$4="All",Orders!$D$4:$D$133,$B$4))))</f>
        <v>49</v>
      </c>
    </row>
    <row r="40" spans="1:2" x14ac:dyDescent="0.3">
      <c r="A40" s="3" t="s">
        <v>211</v>
      </c>
      <c r="B40" s="3">
        <f>SUMPRODUCT((TEXT(Orders!$E$4:$E$133,"YYYY-MM")=A40)*((Orders!$D$4:$D$133=IF($B$4="All",Orders!$D$4:$D$133,$B$4))))</f>
        <v>36</v>
      </c>
    </row>
    <row r="41" spans="1:2" x14ac:dyDescent="0.3">
      <c r="A41" s="3" t="s">
        <v>212</v>
      </c>
      <c r="B41" s="3">
        <f>SUMPRODUCT((TEXT(Orders!$E$4:$E$133,"YYYY-MM")=A41)*((Orders!$D$4:$D$133=IF($B$4="All",Orders!$D$4:$D$133,$B$4))))</f>
        <v>45</v>
      </c>
    </row>
  </sheetData>
  <mergeCells count="8">
    <mergeCell ref="A7:C8"/>
    <mergeCell ref="E7:G8"/>
    <mergeCell ref="I7:K8"/>
    <mergeCell ref="A1:L1"/>
    <mergeCell ref="A2:L2"/>
    <mergeCell ref="A6:C6"/>
    <mergeCell ref="E6:G6"/>
    <mergeCell ref="I6:K6"/>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Restaurants</vt:lpstr>
      <vt:lpstr>Orders</vt:lpstr>
      <vt:lpstr>Zone Stats</vt:lpstr>
      <vt:lpstr>INTERACTIVE_DASHBOARD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Diya Shah</cp:lastModifiedBy>
  <cp:revision>1</cp:revision>
  <dcterms:created xsi:type="dcterms:W3CDTF">2026-09-07T06:26:42Z</dcterms:created>
  <dcterms:modified xsi:type="dcterms:W3CDTF">2026-09-09T19:42:13Z</dcterms:modified>
  <dc:language>en-US</dc:language>
</cp:coreProperties>
</file>