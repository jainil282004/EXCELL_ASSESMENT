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a2020e7177c1c5/Documents/DIA TOPS/EXCEL_ASSESSMENT/"/>
    </mc:Choice>
  </mc:AlternateContent>
  <xr:revisionPtr revIDLastSave="119" documentId="8_{5537566F-EB47-4D59-9780-1B5A38637A98}" xr6:coauthVersionLast="47" xr6:coauthVersionMax="47" xr10:uidLastSave="{C7654B37-5173-414D-A4EC-BAE35133202C}"/>
  <bookViews>
    <workbookView xWindow="-108" yWindow="-108" windowWidth="23256" windowHeight="12456" xr2:uid="{F31DAF60-A7D3-4E81-9C23-84E4EDE234BF}"/>
  </bookViews>
  <sheets>
    <sheet name="TASK1" sheetId="1" r:id="rId1"/>
    <sheet name="PREMIUM ORDERS" sheetId="2" r:id="rId2"/>
    <sheet name="TASK2" sheetId="3" r:id="rId3"/>
    <sheet name="RESTAURANT REFRENCES" sheetId="4" r:id="rId4"/>
    <sheet name="TASK3" sheetId="5" r:id="rId5"/>
  </sheets>
  <externalReferences>
    <externalReference r:id="rId6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5" l="1"/>
  <c r="O4" i="5"/>
  <c r="O3" i="5"/>
  <c r="K121" i="3"/>
  <c r="J121" i="3"/>
  <c r="K120" i="3"/>
  <c r="J120" i="3"/>
  <c r="K119" i="3"/>
  <c r="J119" i="3"/>
  <c r="K118" i="3"/>
  <c r="J118" i="3"/>
  <c r="K117" i="3"/>
  <c r="J117" i="3"/>
  <c r="K116" i="3"/>
  <c r="J116" i="3"/>
  <c r="K115" i="3"/>
  <c r="J115" i="3"/>
  <c r="K114" i="3"/>
  <c r="J114" i="3"/>
  <c r="K113" i="3"/>
  <c r="J113" i="3"/>
  <c r="K112" i="3"/>
  <c r="J112" i="3"/>
  <c r="K111" i="3"/>
  <c r="J111" i="3"/>
  <c r="K110" i="3"/>
  <c r="J110" i="3"/>
  <c r="K109" i="3"/>
  <c r="J109" i="3"/>
  <c r="K108" i="3"/>
  <c r="J108" i="3"/>
  <c r="K107" i="3"/>
  <c r="J107" i="3"/>
  <c r="K106" i="3"/>
  <c r="J106" i="3"/>
  <c r="K105" i="3"/>
  <c r="J105" i="3"/>
  <c r="K104" i="3"/>
  <c r="J104" i="3"/>
  <c r="K103" i="3"/>
  <c r="J103" i="3"/>
  <c r="K102" i="3"/>
  <c r="J102" i="3"/>
  <c r="K101" i="3"/>
  <c r="J101" i="3"/>
  <c r="K100" i="3"/>
  <c r="J100" i="3"/>
  <c r="K99" i="3"/>
  <c r="J99" i="3"/>
  <c r="K98" i="3"/>
  <c r="J98" i="3"/>
  <c r="K97" i="3"/>
  <c r="J97" i="3"/>
  <c r="K96" i="3"/>
  <c r="J96" i="3"/>
  <c r="K95" i="3"/>
  <c r="J95" i="3"/>
  <c r="K94" i="3"/>
  <c r="J94" i="3"/>
  <c r="K93" i="3"/>
  <c r="J93" i="3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K68" i="3"/>
  <c r="J68" i="3"/>
  <c r="K67" i="3"/>
  <c r="J67" i="3"/>
  <c r="K66" i="3"/>
  <c r="J66" i="3"/>
  <c r="K65" i="3"/>
  <c r="J65" i="3"/>
  <c r="K64" i="3"/>
  <c r="J64" i="3"/>
  <c r="K63" i="3"/>
  <c r="J63" i="3"/>
  <c r="K62" i="3"/>
  <c r="J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K5" i="3"/>
  <c r="J5" i="3"/>
  <c r="K4" i="3"/>
  <c r="J4" i="3"/>
  <c r="K3" i="3"/>
  <c r="J3" i="3"/>
  <c r="K2" i="3"/>
  <c r="J2" i="3"/>
  <c r="O7" i="3" l="1"/>
  <c r="O3" i="3"/>
  <c r="O4" i="3"/>
  <c r="O5" i="3"/>
  <c r="O6" i="3"/>
  <c r="J3" i="5"/>
  <c r="I3" i="5"/>
  <c r="J4" i="5"/>
  <c r="I4" i="5"/>
  <c r="G5" i="5"/>
  <c r="B5" i="5"/>
  <c r="G6" i="5"/>
  <c r="B6" i="5"/>
  <c r="J5" i="5"/>
  <c r="I5" i="5"/>
  <c r="G4" i="5"/>
  <c r="B4" i="5"/>
  <c r="D8" i="5"/>
  <c r="D3" i="5"/>
  <c r="G8" i="5"/>
  <c r="G3" i="5"/>
  <c r="B3" i="5"/>
  <c r="B8" i="5"/>
  <c r="F8" i="5"/>
  <c r="F3" i="5"/>
  <c r="J7" i="5"/>
  <c r="I7" i="5"/>
  <c r="E8" i="5"/>
  <c r="E3" i="5"/>
  <c r="C8" i="5"/>
  <c r="F6" i="5"/>
  <c r="F5" i="5"/>
  <c r="F7" i="5"/>
  <c r="F4" i="5"/>
  <c r="E6" i="5"/>
  <c r="E4" i="5"/>
  <c r="E7" i="5"/>
  <c r="E5" i="5"/>
  <c r="D5" i="5"/>
  <c r="D4" i="5"/>
  <c r="D7" i="5"/>
  <c r="D6" i="5"/>
  <c r="B7" i="5"/>
  <c r="G7" i="5"/>
  <c r="C5" i="5"/>
  <c r="C4" i="5"/>
  <c r="C6" i="5"/>
  <c r="C7" i="5"/>
  <c r="C3" i="5"/>
  <c r="I6" i="5"/>
  <c r="J6" i="5"/>
</calcChain>
</file>

<file path=xl/sharedStrings.xml><?xml version="1.0" encoding="utf-8"?>
<sst xmlns="http://schemas.openxmlformats.org/spreadsheetml/2006/main" count="1478" uniqueCount="267">
  <si>
    <t>OrderID</t>
  </si>
  <si>
    <t>CustomerName</t>
  </si>
  <si>
    <t>RestaurantID</t>
  </si>
  <si>
    <t>Cuisine</t>
  </si>
  <si>
    <t>OrderDate</t>
  </si>
  <si>
    <t>DeliveryTime</t>
  </si>
  <si>
    <t>Rating</t>
  </si>
  <si>
    <t>Revenue</t>
  </si>
  <si>
    <t>Status</t>
  </si>
  <si>
    <t>O0001</t>
  </si>
  <si>
    <t>Customer 021</t>
  </si>
  <si>
    <t>R014</t>
  </si>
  <si>
    <t>Italian</t>
  </si>
  <si>
    <t>Delivered</t>
  </si>
  <si>
    <t>O0002</t>
  </si>
  <si>
    <t>Customer 013</t>
  </si>
  <si>
    <t>R012</t>
  </si>
  <si>
    <t>O0003</t>
  </si>
  <si>
    <t>Customer 069</t>
  </si>
  <si>
    <t>R004</t>
  </si>
  <si>
    <t>Mexican</t>
  </si>
  <si>
    <t>O0004</t>
  </si>
  <si>
    <t>Customer 009</t>
  </si>
  <si>
    <t>R002</t>
  </si>
  <si>
    <t>Chinese</t>
  </si>
  <si>
    <t>Delayed</t>
  </si>
  <si>
    <t>O0005</t>
  </si>
  <si>
    <t>Customer 049</t>
  </si>
  <si>
    <t>R009</t>
  </si>
  <si>
    <t>O0006</t>
  </si>
  <si>
    <t>Customer 010</t>
  </si>
  <si>
    <t>R020</t>
  </si>
  <si>
    <t>O0007</t>
  </si>
  <si>
    <t>Customer 035</t>
  </si>
  <si>
    <t>R018</t>
  </si>
  <si>
    <t>Cancelled</t>
  </si>
  <si>
    <t>O0008</t>
  </si>
  <si>
    <t>Customer 041</t>
  </si>
  <si>
    <t>R013</t>
  </si>
  <si>
    <t>O0009</t>
  </si>
  <si>
    <t>R007</t>
  </si>
  <si>
    <t>O0010</t>
  </si>
  <si>
    <t>Customer 072</t>
  </si>
  <si>
    <t>O0011</t>
  </si>
  <si>
    <t>Customer 029</t>
  </si>
  <si>
    <t>R005</t>
  </si>
  <si>
    <t>Fast Food</t>
  </si>
  <si>
    <t>O0012</t>
  </si>
  <si>
    <t>Customer 055</t>
  </si>
  <si>
    <t>Indian</t>
  </si>
  <si>
    <t>O0013</t>
  </si>
  <si>
    <t>Customer 068</t>
  </si>
  <si>
    <t>O0014</t>
  </si>
  <si>
    <t>Customer 044</t>
  </si>
  <si>
    <t>O0015</t>
  </si>
  <si>
    <t>Customer 034</t>
  </si>
  <si>
    <t>R017</t>
  </si>
  <si>
    <t>O0016</t>
  </si>
  <si>
    <t>Customer 026</t>
  </si>
  <si>
    <t>O0017</t>
  </si>
  <si>
    <t>Customer 077</t>
  </si>
  <si>
    <t>R011</t>
  </si>
  <si>
    <t>O0018</t>
  </si>
  <si>
    <t>Customer 073</t>
  </si>
  <si>
    <t>R003</t>
  </si>
  <si>
    <t>O0019</t>
  </si>
  <si>
    <t>Customer 017</t>
  </si>
  <si>
    <t>R016</t>
  </si>
  <si>
    <t>O0020</t>
  </si>
  <si>
    <t>R010</t>
  </si>
  <si>
    <t>O0021</t>
  </si>
  <si>
    <t>Customer 058</t>
  </si>
  <si>
    <t>O0022</t>
  </si>
  <si>
    <t>Customer 001</t>
  </si>
  <si>
    <t>O0023</t>
  </si>
  <si>
    <t>O0024</t>
  </si>
  <si>
    <t>Customer 032</t>
  </si>
  <si>
    <t>O0025</t>
  </si>
  <si>
    <t>Customer 046</t>
  </si>
  <si>
    <t>O0026</t>
  </si>
  <si>
    <t>O0027</t>
  </si>
  <si>
    <t>R006</t>
  </si>
  <si>
    <t>O0028</t>
  </si>
  <si>
    <t>Customer 070</t>
  </si>
  <si>
    <t>R001</t>
  </si>
  <si>
    <t>O0029</t>
  </si>
  <si>
    <t>Customer 028</t>
  </si>
  <si>
    <t>O0030</t>
  </si>
  <si>
    <t>O0031</t>
  </si>
  <si>
    <t>Customer 075</t>
  </si>
  <si>
    <t>O0032</t>
  </si>
  <si>
    <t>Customer 066</t>
  </si>
  <si>
    <t>O0033</t>
  </si>
  <si>
    <t>Customer 031</t>
  </si>
  <si>
    <t>O0034</t>
  </si>
  <si>
    <t>R019</t>
  </si>
  <si>
    <t>O0035</t>
  </si>
  <si>
    <t>R008</t>
  </si>
  <si>
    <t>O0036</t>
  </si>
  <si>
    <t>O0037</t>
  </si>
  <si>
    <t>O0038</t>
  </si>
  <si>
    <t>Customer 057</t>
  </si>
  <si>
    <t>O0039</t>
  </si>
  <si>
    <t>Customer 071</t>
  </si>
  <si>
    <t>O0040</t>
  </si>
  <si>
    <t>Customer 078</t>
  </si>
  <si>
    <t>O0041</t>
  </si>
  <si>
    <t>Customer 007</t>
  </si>
  <si>
    <t>O0042</t>
  </si>
  <si>
    <t>R015</t>
  </si>
  <si>
    <t>O0043</t>
  </si>
  <si>
    <t>Customer 020</t>
  </si>
  <si>
    <t>O0044</t>
  </si>
  <si>
    <t>Customer 006</t>
  </si>
  <si>
    <t>O0045</t>
  </si>
  <si>
    <t>O0046</t>
  </si>
  <si>
    <t>Customer 004</t>
  </si>
  <si>
    <t>O0047</t>
  </si>
  <si>
    <t>Customer 014</t>
  </si>
  <si>
    <t>O0048</t>
  </si>
  <si>
    <t>Customer 030</t>
  </si>
  <si>
    <t>O0049</t>
  </si>
  <si>
    <t>O0050</t>
  </si>
  <si>
    <t>Customer 015</t>
  </si>
  <si>
    <t>O0051</t>
  </si>
  <si>
    <t>Customer 056</t>
  </si>
  <si>
    <t>O0052</t>
  </si>
  <si>
    <t>O0053</t>
  </si>
  <si>
    <t>O0054</t>
  </si>
  <si>
    <t>Customer 053</t>
  </si>
  <si>
    <t>O0055</t>
  </si>
  <si>
    <t>Customer 054</t>
  </si>
  <si>
    <t>O0056</t>
  </si>
  <si>
    <t>O0057</t>
  </si>
  <si>
    <t>O0058</t>
  </si>
  <si>
    <t>O0059</t>
  </si>
  <si>
    <t>Customer 061</t>
  </si>
  <si>
    <t>O0060</t>
  </si>
  <si>
    <t>O0061</t>
  </si>
  <si>
    <t>Customer 067</t>
  </si>
  <si>
    <t>O0062</t>
  </si>
  <si>
    <t>O0063</t>
  </si>
  <si>
    <t>Customer 065</t>
  </si>
  <si>
    <t>O0064</t>
  </si>
  <si>
    <t>O0065</t>
  </si>
  <si>
    <t>Customer 037</t>
  </si>
  <si>
    <t>O0066</t>
  </si>
  <si>
    <t>O0067</t>
  </si>
  <si>
    <t>O0068</t>
  </si>
  <si>
    <t>O0069</t>
  </si>
  <si>
    <t>O0070</t>
  </si>
  <si>
    <t>Customer 052</t>
  </si>
  <si>
    <t>O0071</t>
  </si>
  <si>
    <t>Customer 051</t>
  </si>
  <si>
    <t>O0072</t>
  </si>
  <si>
    <t>O0073</t>
  </si>
  <si>
    <t>O0074</t>
  </si>
  <si>
    <t>Customer 045</t>
  </si>
  <si>
    <t>O0075</t>
  </si>
  <si>
    <t>O0076</t>
  </si>
  <si>
    <t>Customer 060</t>
  </si>
  <si>
    <t>O0077</t>
  </si>
  <si>
    <t>O0078</t>
  </si>
  <si>
    <t>O0079</t>
  </si>
  <si>
    <t>Customer 039</t>
  </si>
  <si>
    <t>O0080</t>
  </si>
  <si>
    <t>O0081</t>
  </si>
  <si>
    <t>Customer 059</t>
  </si>
  <si>
    <t>O0082</t>
  </si>
  <si>
    <t>O0083</t>
  </si>
  <si>
    <t>O0084</t>
  </si>
  <si>
    <t>Customer 064</t>
  </si>
  <si>
    <t>O0085</t>
  </si>
  <si>
    <t>O0086</t>
  </si>
  <si>
    <t>O0087</t>
  </si>
  <si>
    <t>Customer 003</t>
  </si>
  <si>
    <t>O0088</t>
  </si>
  <si>
    <t>O0089</t>
  </si>
  <si>
    <t>O0090</t>
  </si>
  <si>
    <t>Customer 024</t>
  </si>
  <si>
    <t>O0091</t>
  </si>
  <si>
    <t>O0092</t>
  </si>
  <si>
    <t>O0093</t>
  </si>
  <si>
    <t>O0094</t>
  </si>
  <si>
    <t>O0095</t>
  </si>
  <si>
    <t>Customer 074</t>
  </si>
  <si>
    <t>O0096</t>
  </si>
  <si>
    <t>O0097</t>
  </si>
  <si>
    <t>O0098</t>
  </si>
  <si>
    <t>Customer 027</t>
  </si>
  <si>
    <t>O0099</t>
  </si>
  <si>
    <t>O0100</t>
  </si>
  <si>
    <t>O0101</t>
  </si>
  <si>
    <t>Customer 076</t>
  </si>
  <si>
    <t>O0102</t>
  </si>
  <si>
    <t>Customer 022</t>
  </si>
  <si>
    <t>O0103</t>
  </si>
  <si>
    <t>O0104</t>
  </si>
  <si>
    <t>Customer 042</t>
  </si>
  <si>
    <t>O0105</t>
  </si>
  <si>
    <t>O0106</t>
  </si>
  <si>
    <t>O0107</t>
  </si>
  <si>
    <t>Customer 012</t>
  </si>
  <si>
    <t>O0108</t>
  </si>
  <si>
    <t>O0109</t>
  </si>
  <si>
    <t>Customer 033</t>
  </si>
  <si>
    <t>O0110</t>
  </si>
  <si>
    <t>O0111</t>
  </si>
  <si>
    <t>O0112</t>
  </si>
  <si>
    <t>O0113</t>
  </si>
  <si>
    <t>O0114</t>
  </si>
  <si>
    <t>Customer 038</t>
  </si>
  <si>
    <t>O0115</t>
  </si>
  <si>
    <t>O0116</t>
  </si>
  <si>
    <t>O0117</t>
  </si>
  <si>
    <t>O0118</t>
  </si>
  <si>
    <t>O0119</t>
  </si>
  <si>
    <t>O0120</t>
  </si>
  <si>
    <t>Customer 005</t>
  </si>
  <si>
    <t>RestaurantName (XLOOKUP)</t>
  </si>
  <si>
    <t>Zone (INDEX-MATCH)</t>
  </si>
  <si>
    <t>Restaurants Reference Sheet</t>
  </si>
  <si>
    <t>RestaurantName</t>
  </si>
  <si>
    <t>Zone</t>
  </si>
  <si>
    <t>Category</t>
  </si>
  <si>
    <t>Spice Route</t>
  </si>
  <si>
    <t>North</t>
  </si>
  <si>
    <t>Cloud Kitchen</t>
  </si>
  <si>
    <t>Urban Tadka</t>
  </si>
  <si>
    <t>South</t>
  </si>
  <si>
    <t>Dine-in</t>
  </si>
  <si>
    <t>Noodle Bar</t>
  </si>
  <si>
    <t>East</t>
  </si>
  <si>
    <t>QSR</t>
  </si>
  <si>
    <t>Taco Fiesta</t>
  </si>
  <si>
    <t>West</t>
  </si>
  <si>
    <t>Pizza Corner</t>
  </si>
  <si>
    <t>Central</t>
  </si>
  <si>
    <t>Curry House</t>
  </si>
  <si>
    <t>Burger Junction</t>
  </si>
  <si>
    <t>Wok This Way</t>
  </si>
  <si>
    <t>El Sombrero</t>
  </si>
  <si>
    <t>Roma's Kitchen</t>
  </si>
  <si>
    <t>Dragon Wok</t>
  </si>
  <si>
    <t>Grill &amp; Chill</t>
  </si>
  <si>
    <t>Bombay Bites</t>
  </si>
  <si>
    <t>Fast Bite Express</t>
  </si>
  <si>
    <t>La Pasta</t>
  </si>
  <si>
    <t>Sizzling Spice</t>
  </si>
  <si>
    <t>Green Chilli</t>
  </si>
  <si>
    <t>Crispy Crust</t>
  </si>
  <si>
    <t>Salsa Nights</t>
  </si>
  <si>
    <t>Wok &amp; Roll</t>
  </si>
  <si>
    <t>Average Revenue</t>
  </si>
  <si>
    <t>Summary: Average Revenue by Zone (AVERAGEIF)</t>
  </si>
  <si>
    <t>Grand Total</t>
  </si>
  <si>
    <t>PIVOT TABLE 1</t>
  </si>
  <si>
    <t>Month</t>
  </si>
  <si>
    <t>Quarter</t>
  </si>
  <si>
    <t>Order Count</t>
  </si>
  <si>
    <t>2026-01</t>
  </si>
  <si>
    <t>Q1</t>
  </si>
  <si>
    <t>2026-02</t>
  </si>
  <si>
    <t>2026-03</t>
  </si>
  <si>
    <t>PIVOT TABLE2</t>
  </si>
  <si>
    <t>Orders (Count)</t>
  </si>
  <si>
    <t>AvgRevenuePerOrder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</si>
</sst>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&quot;Rs &quot;#,##0"/>
  </numFmts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4"/>
      <color rgb="FF1F3864"/>
      <name val="Arial"/>
      <family val="2"/>
    </font>
    <font>
      <b/>
      <sz val="11"/>
      <name val="Arial"/>
      <family val="2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14" fontId="2" fillId="3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165" fontId="3" fillId="0" borderId="1" xfId="0" applyNumberFormat="1" applyFont="1" applyBorder="1"/>
    <xf numFmtId="165" fontId="5" fillId="0" borderId="1" xfId="0" applyNumberFormat="1" applyFont="1" applyBorder="1"/>
    <xf numFmtId="0" fontId="0" fillId="0" borderId="2" xfId="0" applyBorder="1"/>
    <xf numFmtId="0" fontId="6" fillId="0" borderId="2" xfId="0" applyFont="1" applyBorder="1"/>
    <xf numFmtId="165" fontId="3" fillId="0" borderId="0" xfId="0" applyNumberFormat="1" applyFont="1"/>
    <xf numFmtId="0" fontId="5" fillId="0" borderId="0" xfId="0" applyFont="1"/>
    <xf numFmtId="0" fontId="0" fillId="0" borderId="0" xfId="0"/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Cuisine x Zone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'[1]Task3 PivotAnalysis'!$B$6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'[1]Task3 PivotAnalysis'!$A$7:$A$11</c:f>
              <c:strCache>
                <c:ptCount val="5"/>
                <c:pt idx="0">
                  <c:v>Chinese</c:v>
                </c:pt>
                <c:pt idx="1">
                  <c:v>Fast Food</c:v>
                </c:pt>
                <c:pt idx="2">
                  <c:v>Indian</c:v>
                </c:pt>
                <c:pt idx="3">
                  <c:v>Italian</c:v>
                </c:pt>
                <c:pt idx="4">
                  <c:v>Mexican</c:v>
                </c:pt>
              </c:strCache>
            </c:strRef>
          </c:cat>
          <c:val>
            <c:numRef>
              <c:f>'[1]Task3 PivotAnalysis'!$B$7:$B$11</c:f>
              <c:numCache>
                <c:formatCode>General</c:formatCode>
                <c:ptCount val="5"/>
                <c:pt idx="0">
                  <c:v>1531</c:v>
                </c:pt>
                <c:pt idx="1">
                  <c:v>5110</c:v>
                </c:pt>
                <c:pt idx="2">
                  <c:v>3180</c:v>
                </c:pt>
                <c:pt idx="3">
                  <c:v>3836</c:v>
                </c:pt>
                <c:pt idx="4">
                  <c:v>5816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B-4257-B36F-D5D718642FA5}"/>
            </c:ext>
          </c:extLst>
        </c:ser>
        <c:ser>
          <c:idx val="1"/>
          <c:order val="1"/>
          <c:tx>
            <c:strRef>
              <c:f>'[1]Task3 PivotAnalysis'!$C$6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'[1]Task3 PivotAnalysis'!$A$7:$A$11</c:f>
              <c:strCache>
                <c:ptCount val="5"/>
                <c:pt idx="0">
                  <c:v>Chinese</c:v>
                </c:pt>
                <c:pt idx="1">
                  <c:v>Fast Food</c:v>
                </c:pt>
                <c:pt idx="2">
                  <c:v>Indian</c:v>
                </c:pt>
                <c:pt idx="3">
                  <c:v>Italian</c:v>
                </c:pt>
                <c:pt idx="4">
                  <c:v>Mexican</c:v>
                </c:pt>
              </c:strCache>
            </c:strRef>
          </c:cat>
          <c:val>
            <c:numRef>
              <c:f>'[1]Task3 PivotAnalysis'!$C$7:$C$11</c:f>
              <c:numCache>
                <c:formatCode>General</c:formatCode>
                <c:ptCount val="5"/>
                <c:pt idx="0">
                  <c:v>7317</c:v>
                </c:pt>
                <c:pt idx="1">
                  <c:v>1200</c:v>
                </c:pt>
                <c:pt idx="2">
                  <c:v>857</c:v>
                </c:pt>
                <c:pt idx="3">
                  <c:v>7628</c:v>
                </c:pt>
                <c:pt idx="4">
                  <c:v>2959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4B-4257-B36F-D5D718642FA5}"/>
            </c:ext>
          </c:extLst>
        </c:ser>
        <c:ser>
          <c:idx val="2"/>
          <c:order val="2"/>
          <c:tx>
            <c:strRef>
              <c:f>'[1]Task3 PivotAnalysis'!$D$6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'[1]Task3 PivotAnalysis'!$A$7:$A$11</c:f>
              <c:strCache>
                <c:ptCount val="5"/>
                <c:pt idx="0">
                  <c:v>Chinese</c:v>
                </c:pt>
                <c:pt idx="1">
                  <c:v>Fast Food</c:v>
                </c:pt>
                <c:pt idx="2">
                  <c:v>Indian</c:v>
                </c:pt>
                <c:pt idx="3">
                  <c:v>Italian</c:v>
                </c:pt>
                <c:pt idx="4">
                  <c:v>Mexican</c:v>
                </c:pt>
              </c:strCache>
            </c:strRef>
          </c:cat>
          <c:val>
            <c:numRef>
              <c:f>'[1]Task3 PivotAnalysis'!$D$7:$D$11</c:f>
              <c:numCache>
                <c:formatCode>General</c:formatCode>
                <c:ptCount val="5"/>
                <c:pt idx="0">
                  <c:v>2754</c:v>
                </c:pt>
                <c:pt idx="1">
                  <c:v>1822</c:v>
                </c:pt>
                <c:pt idx="2">
                  <c:v>7839</c:v>
                </c:pt>
                <c:pt idx="3">
                  <c:v>7228</c:v>
                </c:pt>
                <c:pt idx="4">
                  <c:v>1484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4B-4257-B36F-D5D718642FA5}"/>
            </c:ext>
          </c:extLst>
        </c:ser>
        <c:ser>
          <c:idx val="3"/>
          <c:order val="3"/>
          <c:tx>
            <c:strRef>
              <c:f>'[1]Task3 PivotAnalysis'!$E$6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'[1]Task3 PivotAnalysis'!$A$7:$A$11</c:f>
              <c:strCache>
                <c:ptCount val="5"/>
                <c:pt idx="0">
                  <c:v>Chinese</c:v>
                </c:pt>
                <c:pt idx="1">
                  <c:v>Fast Food</c:v>
                </c:pt>
                <c:pt idx="2">
                  <c:v>Indian</c:v>
                </c:pt>
                <c:pt idx="3">
                  <c:v>Italian</c:v>
                </c:pt>
                <c:pt idx="4">
                  <c:v>Mexican</c:v>
                </c:pt>
              </c:strCache>
            </c:strRef>
          </c:cat>
          <c:val>
            <c:numRef>
              <c:f>'[1]Task3 PivotAnalysis'!$E$7:$E$11</c:f>
              <c:numCache>
                <c:formatCode>General</c:formatCode>
                <c:ptCount val="5"/>
                <c:pt idx="0">
                  <c:v>3667</c:v>
                </c:pt>
                <c:pt idx="1">
                  <c:v>6537</c:v>
                </c:pt>
                <c:pt idx="2">
                  <c:v>1726</c:v>
                </c:pt>
                <c:pt idx="3">
                  <c:v>3779</c:v>
                </c:pt>
                <c:pt idx="4">
                  <c:v>4429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4B-4257-B36F-D5D718642FA5}"/>
            </c:ext>
          </c:extLst>
        </c:ser>
        <c:ser>
          <c:idx val="4"/>
          <c:order val="4"/>
          <c:tx>
            <c:strRef>
              <c:f>'[1]Task3 PivotAnalysis'!$F$6</c:f>
              <c:strCache>
                <c:ptCount val="1"/>
                <c:pt idx="0">
                  <c:v>Central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'[1]Task3 PivotAnalysis'!$A$7:$A$11</c:f>
              <c:strCache>
                <c:ptCount val="5"/>
                <c:pt idx="0">
                  <c:v>Chinese</c:v>
                </c:pt>
                <c:pt idx="1">
                  <c:v>Fast Food</c:v>
                </c:pt>
                <c:pt idx="2">
                  <c:v>Indian</c:v>
                </c:pt>
                <c:pt idx="3">
                  <c:v>Italian</c:v>
                </c:pt>
                <c:pt idx="4">
                  <c:v>Mexican</c:v>
                </c:pt>
              </c:strCache>
            </c:strRef>
          </c:cat>
          <c:val>
            <c:numRef>
              <c:f>'[1]Task3 PivotAnalysis'!$F$7:$F$11</c:f>
              <c:numCache>
                <c:formatCode>General</c:formatCode>
                <c:ptCount val="5"/>
                <c:pt idx="0">
                  <c:v>1720</c:v>
                </c:pt>
                <c:pt idx="1">
                  <c:v>3789</c:v>
                </c:pt>
                <c:pt idx="2">
                  <c:v>4883</c:v>
                </c:pt>
                <c:pt idx="3">
                  <c:v>6402</c:v>
                </c:pt>
                <c:pt idx="4">
                  <c:v>4672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4B-4257-B36F-D5D718642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1532040"/>
        <c:axId val="45532375"/>
      </c:barChart>
      <c:catAx>
        <c:axId val="71532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Cuisine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2375"/>
        <c:crosses val="autoZero"/>
        <c:auto val="1"/>
        <c:lblAlgn val="ctr"/>
        <c:lblOffset val="100"/>
        <c:noMultiLvlLbl val="0"/>
      </c:catAx>
      <c:valAx>
        <c:axId val="45532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s 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45720</xdr:rowOff>
    </xdr:from>
    <xdr:to>
      <xdr:col>7</xdr:col>
      <xdr:colOff>556260</xdr:colOff>
      <xdr:row>24</xdr:row>
      <xdr:rowOff>67320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C5697F-FABC-4904-BEB0-8685AE358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ection_B_Tasks2-4.xlsx" TargetMode="External"/><Relationship Id="rId2" Type="http://schemas.openxmlformats.org/officeDocument/2006/relationships/externalLinkPath" Target="https://d.docs.live.net/C8A2020E7177C1C5/Documents/Section_B_Tasks2-4.xlsx" TargetMode="External"/><Relationship Id="rId1" Type="http://schemas.openxmlformats.org/officeDocument/2006/relationships/externalLinkPath" Target="/C8A2020E7177C1C5/Documents/Section_B_Tasks2-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taurants"/>
      <sheetName val="Orders"/>
      <sheetName val="Task2 Notes"/>
      <sheetName val="Task3 PivotAnalysis"/>
      <sheetName val="Stats Summary"/>
      <sheetName val="Task4 Outliers"/>
      <sheetName val="How To Add Real PivotTables"/>
      <sheetName val="Section_B_Tasks2-4"/>
    </sheetNames>
    <sheetDataSet>
      <sheetData sheetId="0"/>
      <sheetData sheetId="1">
        <row r="4">
          <cell r="D4" t="str">
            <v>Italian</v>
          </cell>
          <cell r="E4">
            <v>46058</v>
          </cell>
          <cell r="H4">
            <v>389</v>
          </cell>
          <cell r="I4" t="str">
            <v>Delivered</v>
          </cell>
          <cell r="K4" t="str">
            <v>West</v>
          </cell>
        </row>
        <row r="5">
          <cell r="D5" t="str">
            <v>Italian</v>
          </cell>
          <cell r="E5">
            <v>46100</v>
          </cell>
          <cell r="H5">
            <v>268</v>
          </cell>
          <cell r="I5" t="str">
            <v>Delivered</v>
          </cell>
          <cell r="K5" t="str">
            <v>South</v>
          </cell>
        </row>
        <row r="6">
          <cell r="D6" t="str">
            <v>Mexican</v>
          </cell>
          <cell r="E6">
            <v>46033</v>
          </cell>
          <cell r="H6">
            <v>920</v>
          </cell>
          <cell r="I6" t="str">
            <v>Delivered</v>
          </cell>
          <cell r="K6" t="str">
            <v>West</v>
          </cell>
        </row>
        <row r="7">
          <cell r="D7" t="str">
            <v>Chinese</v>
          </cell>
          <cell r="E7">
            <v>46060</v>
          </cell>
          <cell r="H7">
            <v>656</v>
          </cell>
          <cell r="I7" t="str">
            <v>Delayed</v>
          </cell>
          <cell r="K7" t="str">
            <v>South</v>
          </cell>
        </row>
        <row r="8">
          <cell r="D8" t="str">
            <v>Mexican</v>
          </cell>
          <cell r="E8">
            <v>46104</v>
          </cell>
          <cell r="H8">
            <v>609</v>
          </cell>
          <cell r="I8" t="str">
            <v>Delivered</v>
          </cell>
          <cell r="K8" t="str">
            <v>West</v>
          </cell>
        </row>
        <row r="9">
          <cell r="D9" t="str">
            <v>Chinese</v>
          </cell>
          <cell r="E9">
            <v>46091</v>
          </cell>
          <cell r="H9">
            <v>514</v>
          </cell>
          <cell r="I9" t="str">
            <v>Delivered</v>
          </cell>
          <cell r="K9" t="str">
            <v>Central</v>
          </cell>
        </row>
        <row r="10">
          <cell r="D10" t="str">
            <v>Chinese</v>
          </cell>
          <cell r="E10">
            <v>46110</v>
          </cell>
          <cell r="H10">
            <v>649</v>
          </cell>
          <cell r="I10" t="str">
            <v>Cancelled</v>
          </cell>
          <cell r="K10" t="str">
            <v>East</v>
          </cell>
        </row>
        <row r="11">
          <cell r="D11" t="str">
            <v>Italian</v>
          </cell>
          <cell r="E11">
            <v>46031</v>
          </cell>
          <cell r="H11">
            <v>1341</v>
          </cell>
          <cell r="I11" t="str">
            <v>Delayed</v>
          </cell>
          <cell r="K11" t="str">
            <v>East</v>
          </cell>
        </row>
        <row r="12">
          <cell r="D12" t="str">
            <v>Mexican</v>
          </cell>
          <cell r="E12">
            <v>46073</v>
          </cell>
          <cell r="H12">
            <v>722</v>
          </cell>
          <cell r="I12" t="str">
            <v>Delivered</v>
          </cell>
          <cell r="K12" t="str">
            <v>South</v>
          </cell>
        </row>
        <row r="13">
          <cell r="D13" t="str">
            <v>Italian</v>
          </cell>
          <cell r="E13">
            <v>46097</v>
          </cell>
          <cell r="H13">
            <v>1375</v>
          </cell>
          <cell r="I13" t="str">
            <v>Delivered</v>
          </cell>
          <cell r="K13" t="str">
            <v>East</v>
          </cell>
        </row>
        <row r="14">
          <cell r="D14" t="str">
            <v>Fast Food</v>
          </cell>
          <cell r="E14">
            <v>46086</v>
          </cell>
          <cell r="H14">
            <v>493</v>
          </cell>
          <cell r="I14" t="str">
            <v>Delivered</v>
          </cell>
          <cell r="K14" t="str">
            <v>Central</v>
          </cell>
        </row>
        <row r="15">
          <cell r="D15" t="str">
            <v>Indian</v>
          </cell>
          <cell r="E15">
            <v>46072</v>
          </cell>
          <cell r="H15">
            <v>1400</v>
          </cell>
          <cell r="I15" t="str">
            <v>Delayed</v>
          </cell>
          <cell r="K15" t="str">
            <v>Central</v>
          </cell>
        </row>
        <row r="16">
          <cell r="D16" t="str">
            <v>Fast Food</v>
          </cell>
          <cell r="E16">
            <v>46024</v>
          </cell>
          <cell r="H16">
            <v>726</v>
          </cell>
          <cell r="I16" t="str">
            <v>Cancelled</v>
          </cell>
          <cell r="K16" t="str">
            <v>West</v>
          </cell>
        </row>
        <row r="17">
          <cell r="D17" t="str">
            <v>Italian</v>
          </cell>
          <cell r="E17">
            <v>46078</v>
          </cell>
          <cell r="H17">
            <v>1109</v>
          </cell>
          <cell r="I17" t="str">
            <v>Delivered</v>
          </cell>
          <cell r="K17" t="str">
            <v>West</v>
          </cell>
        </row>
        <row r="18">
          <cell r="D18" t="str">
            <v>Chinese</v>
          </cell>
          <cell r="E18">
            <v>46087</v>
          </cell>
          <cell r="H18">
            <v>1488</v>
          </cell>
          <cell r="I18" t="str">
            <v>Delivered</v>
          </cell>
          <cell r="K18" t="str">
            <v>South</v>
          </cell>
        </row>
        <row r="19">
          <cell r="D19" t="str">
            <v>Italian</v>
          </cell>
          <cell r="E19">
            <v>46043</v>
          </cell>
          <cell r="H19">
            <v>1266</v>
          </cell>
          <cell r="I19" t="str">
            <v>Delayed</v>
          </cell>
          <cell r="K19" t="str">
            <v>Central</v>
          </cell>
        </row>
        <row r="20">
          <cell r="D20" t="str">
            <v>Mexican</v>
          </cell>
          <cell r="E20">
            <v>46025</v>
          </cell>
          <cell r="H20">
            <v>670</v>
          </cell>
          <cell r="I20" t="str">
            <v>Delivered</v>
          </cell>
          <cell r="K20" t="str">
            <v>North</v>
          </cell>
        </row>
        <row r="21">
          <cell r="D21" t="str">
            <v>Indian</v>
          </cell>
          <cell r="E21">
            <v>46085</v>
          </cell>
          <cell r="H21">
            <v>1270</v>
          </cell>
          <cell r="I21" t="str">
            <v>Cancelled</v>
          </cell>
          <cell r="K21" t="str">
            <v>East</v>
          </cell>
        </row>
        <row r="22">
          <cell r="D22" t="str">
            <v>Fast Food</v>
          </cell>
          <cell r="E22">
            <v>46044</v>
          </cell>
          <cell r="H22">
            <v>613</v>
          </cell>
          <cell r="I22" t="str">
            <v>Delayed</v>
          </cell>
          <cell r="K22" t="str">
            <v>North</v>
          </cell>
        </row>
        <row r="23">
          <cell r="D23" t="str">
            <v>Mexican</v>
          </cell>
          <cell r="E23">
            <v>46108</v>
          </cell>
          <cell r="H23">
            <v>1077</v>
          </cell>
          <cell r="I23" t="str">
            <v>Delayed</v>
          </cell>
          <cell r="K23" t="str">
            <v>Central</v>
          </cell>
        </row>
        <row r="24">
          <cell r="D24" t="str">
            <v>Chinese</v>
          </cell>
          <cell r="E24">
            <v>46051</v>
          </cell>
          <cell r="H24">
            <v>651</v>
          </cell>
          <cell r="I24" t="str">
            <v>Delivered</v>
          </cell>
          <cell r="K24" t="str">
            <v>West</v>
          </cell>
        </row>
        <row r="25">
          <cell r="D25" t="str">
            <v>Indian</v>
          </cell>
          <cell r="E25">
            <v>46052</v>
          </cell>
          <cell r="H25">
            <v>244</v>
          </cell>
          <cell r="I25" t="str">
            <v>Delayed</v>
          </cell>
          <cell r="K25" t="str">
            <v>East</v>
          </cell>
        </row>
        <row r="26">
          <cell r="D26" t="str">
            <v>Chinese</v>
          </cell>
          <cell r="E26">
            <v>46058</v>
          </cell>
          <cell r="H26">
            <v>1349</v>
          </cell>
          <cell r="I26" t="str">
            <v>Delivered</v>
          </cell>
          <cell r="K26" t="str">
            <v>South</v>
          </cell>
        </row>
        <row r="27">
          <cell r="D27" t="str">
            <v>Mexican</v>
          </cell>
          <cell r="E27">
            <v>46047</v>
          </cell>
          <cell r="H27">
            <v>378</v>
          </cell>
          <cell r="I27" t="str">
            <v>Delivered</v>
          </cell>
          <cell r="K27" t="str">
            <v>North</v>
          </cell>
        </row>
        <row r="28">
          <cell r="D28" t="str">
            <v>Mexican</v>
          </cell>
          <cell r="E28">
            <v>46082</v>
          </cell>
          <cell r="H28">
            <v>304</v>
          </cell>
          <cell r="I28" t="str">
            <v>Delivered</v>
          </cell>
          <cell r="K28" t="str">
            <v>West</v>
          </cell>
        </row>
        <row r="29">
          <cell r="D29" t="str">
            <v>Chinese</v>
          </cell>
          <cell r="E29">
            <v>46047</v>
          </cell>
          <cell r="H29">
            <v>1278</v>
          </cell>
          <cell r="I29" t="str">
            <v>Delivered</v>
          </cell>
          <cell r="K29" t="str">
            <v>West</v>
          </cell>
        </row>
        <row r="30">
          <cell r="D30" t="str">
            <v>Italian</v>
          </cell>
          <cell r="E30">
            <v>46082</v>
          </cell>
          <cell r="H30">
            <v>1307</v>
          </cell>
          <cell r="I30" t="str">
            <v>Delivered</v>
          </cell>
          <cell r="K30" t="str">
            <v>North</v>
          </cell>
        </row>
        <row r="31">
          <cell r="D31" t="str">
            <v>Indian</v>
          </cell>
          <cell r="E31">
            <v>46053</v>
          </cell>
          <cell r="H31">
            <v>1012</v>
          </cell>
          <cell r="I31" t="str">
            <v>Delivered</v>
          </cell>
          <cell r="K31" t="str">
            <v>North</v>
          </cell>
        </row>
        <row r="32">
          <cell r="D32" t="str">
            <v>Indian</v>
          </cell>
          <cell r="E32">
            <v>46044</v>
          </cell>
          <cell r="H32">
            <v>1111</v>
          </cell>
          <cell r="I32" t="str">
            <v>Delivered</v>
          </cell>
          <cell r="K32" t="str">
            <v>East</v>
          </cell>
        </row>
        <row r="33">
          <cell r="D33" t="str">
            <v>Chinese</v>
          </cell>
          <cell r="E33">
            <v>46047</v>
          </cell>
          <cell r="H33">
            <v>625</v>
          </cell>
          <cell r="I33" t="str">
            <v>Delayed</v>
          </cell>
          <cell r="K33" t="str">
            <v>North</v>
          </cell>
        </row>
        <row r="34">
          <cell r="D34" t="str">
            <v>Indian</v>
          </cell>
          <cell r="E34">
            <v>46063</v>
          </cell>
          <cell r="H34">
            <v>1267</v>
          </cell>
          <cell r="I34" t="str">
            <v>Delivered</v>
          </cell>
          <cell r="K34" t="str">
            <v>East</v>
          </cell>
        </row>
        <row r="35">
          <cell r="D35" t="str">
            <v>Chinese</v>
          </cell>
          <cell r="E35">
            <v>46031</v>
          </cell>
          <cell r="H35">
            <v>319</v>
          </cell>
          <cell r="I35" t="str">
            <v>Delivered</v>
          </cell>
          <cell r="K35" t="str">
            <v>East</v>
          </cell>
        </row>
        <row r="36">
          <cell r="D36" t="str">
            <v>Indian</v>
          </cell>
          <cell r="E36">
            <v>46095</v>
          </cell>
          <cell r="H36">
            <v>347</v>
          </cell>
          <cell r="I36" t="str">
            <v>Delivered</v>
          </cell>
          <cell r="K36" t="str">
            <v>East</v>
          </cell>
        </row>
        <row r="37">
          <cell r="D37" t="str">
            <v>Fast Food</v>
          </cell>
          <cell r="E37">
            <v>46063</v>
          </cell>
          <cell r="H37">
            <v>598</v>
          </cell>
          <cell r="I37" t="str">
            <v>Delivered</v>
          </cell>
          <cell r="K37" t="str">
            <v>West</v>
          </cell>
        </row>
        <row r="38">
          <cell r="D38" t="str">
            <v>Italian</v>
          </cell>
          <cell r="E38">
            <v>46073</v>
          </cell>
          <cell r="H38">
            <v>827</v>
          </cell>
          <cell r="I38" t="str">
            <v>Delayed</v>
          </cell>
          <cell r="K38" t="str">
            <v>East</v>
          </cell>
        </row>
        <row r="39">
          <cell r="D39" t="str">
            <v>Mexican</v>
          </cell>
          <cell r="E39">
            <v>46102</v>
          </cell>
          <cell r="H39">
            <v>384</v>
          </cell>
          <cell r="I39" t="str">
            <v>Delivered</v>
          </cell>
          <cell r="K39" t="str">
            <v>North</v>
          </cell>
        </row>
        <row r="40">
          <cell r="D40" t="str">
            <v>Italian</v>
          </cell>
          <cell r="E40">
            <v>46039</v>
          </cell>
          <cell r="H40">
            <v>936</v>
          </cell>
          <cell r="I40" t="str">
            <v>Delivered</v>
          </cell>
          <cell r="K40" t="str">
            <v>South</v>
          </cell>
        </row>
        <row r="41">
          <cell r="D41" t="str">
            <v>Italian</v>
          </cell>
          <cell r="E41">
            <v>46101</v>
          </cell>
          <cell r="H41">
            <v>196</v>
          </cell>
          <cell r="I41" t="str">
            <v>Delivered</v>
          </cell>
          <cell r="K41" t="str">
            <v>East</v>
          </cell>
        </row>
        <row r="42">
          <cell r="D42" t="str">
            <v>Indian</v>
          </cell>
          <cell r="E42">
            <v>46040</v>
          </cell>
          <cell r="H42">
            <v>498</v>
          </cell>
          <cell r="I42" t="str">
            <v>Delivered</v>
          </cell>
          <cell r="K42" t="str">
            <v>Central</v>
          </cell>
        </row>
        <row r="43">
          <cell r="D43" t="str">
            <v>Italian</v>
          </cell>
          <cell r="E43">
            <v>46049</v>
          </cell>
          <cell r="H43">
            <v>1215</v>
          </cell>
          <cell r="I43" t="str">
            <v>Delivered</v>
          </cell>
          <cell r="K43" t="str">
            <v>South</v>
          </cell>
        </row>
        <row r="44">
          <cell r="D44" t="str">
            <v>Mexican</v>
          </cell>
          <cell r="E44">
            <v>46058</v>
          </cell>
          <cell r="H44">
            <v>1484</v>
          </cell>
          <cell r="I44" t="str">
            <v>Delayed</v>
          </cell>
          <cell r="K44" t="str">
            <v>East</v>
          </cell>
        </row>
        <row r="45">
          <cell r="D45" t="str">
            <v>Fast Food</v>
          </cell>
          <cell r="E45">
            <v>46077</v>
          </cell>
          <cell r="H45">
            <v>199</v>
          </cell>
          <cell r="I45" t="str">
            <v>Delivered</v>
          </cell>
          <cell r="K45" t="str">
            <v>Central</v>
          </cell>
        </row>
        <row r="46">
          <cell r="D46" t="str">
            <v>Indian</v>
          </cell>
          <cell r="E46">
            <v>46070</v>
          </cell>
          <cell r="H46">
            <v>265</v>
          </cell>
          <cell r="I46" t="str">
            <v>Delivered</v>
          </cell>
          <cell r="K46" t="str">
            <v>East</v>
          </cell>
        </row>
        <row r="47">
          <cell r="D47" t="str">
            <v>Chinese</v>
          </cell>
          <cell r="E47">
            <v>46110</v>
          </cell>
          <cell r="H47">
            <v>390</v>
          </cell>
          <cell r="I47" t="str">
            <v>Delivered</v>
          </cell>
          <cell r="K47" t="str">
            <v>South</v>
          </cell>
        </row>
        <row r="48">
          <cell r="D48" t="str">
            <v>Fast Food</v>
          </cell>
          <cell r="E48">
            <v>46042</v>
          </cell>
          <cell r="H48">
            <v>542</v>
          </cell>
          <cell r="I48" t="str">
            <v>Delayed</v>
          </cell>
          <cell r="K48" t="str">
            <v>West</v>
          </cell>
        </row>
        <row r="49">
          <cell r="D49" t="str">
            <v>Italian</v>
          </cell>
          <cell r="E49">
            <v>46075</v>
          </cell>
          <cell r="H49">
            <v>726</v>
          </cell>
          <cell r="I49" t="str">
            <v>Delivered</v>
          </cell>
          <cell r="K49" t="str">
            <v>North</v>
          </cell>
        </row>
        <row r="50">
          <cell r="D50" t="str">
            <v>Indian</v>
          </cell>
          <cell r="E50">
            <v>46083</v>
          </cell>
          <cell r="H50">
            <v>896</v>
          </cell>
          <cell r="I50" t="str">
            <v>Delivered</v>
          </cell>
          <cell r="K50" t="str">
            <v>East</v>
          </cell>
        </row>
        <row r="51">
          <cell r="D51" t="str">
            <v>Indian</v>
          </cell>
          <cell r="E51">
            <v>46107</v>
          </cell>
          <cell r="H51">
            <v>996</v>
          </cell>
          <cell r="I51" t="str">
            <v>Delivered</v>
          </cell>
          <cell r="K51" t="str">
            <v>East</v>
          </cell>
        </row>
        <row r="52">
          <cell r="D52" t="str">
            <v>Italian</v>
          </cell>
          <cell r="E52">
            <v>46105</v>
          </cell>
          <cell r="H52">
            <v>858</v>
          </cell>
          <cell r="I52" t="str">
            <v>Delayed</v>
          </cell>
          <cell r="K52" t="str">
            <v>West</v>
          </cell>
        </row>
        <row r="53">
          <cell r="D53" t="str">
            <v>Chinese</v>
          </cell>
          <cell r="E53">
            <v>46097</v>
          </cell>
          <cell r="H53">
            <v>258</v>
          </cell>
          <cell r="I53" t="str">
            <v>Delivered</v>
          </cell>
          <cell r="K53" t="str">
            <v>West</v>
          </cell>
        </row>
        <row r="54">
          <cell r="D54" t="str">
            <v>Italian</v>
          </cell>
          <cell r="E54">
            <v>46078</v>
          </cell>
          <cell r="H54">
            <v>1360</v>
          </cell>
          <cell r="I54" t="str">
            <v>Delivered</v>
          </cell>
          <cell r="K54" t="str">
            <v>South</v>
          </cell>
        </row>
        <row r="55">
          <cell r="D55" t="str">
            <v>Indian</v>
          </cell>
          <cell r="E55">
            <v>46089</v>
          </cell>
          <cell r="H55">
            <v>583</v>
          </cell>
          <cell r="I55" t="str">
            <v>Delivered</v>
          </cell>
          <cell r="K55" t="str">
            <v>West</v>
          </cell>
        </row>
        <row r="56">
          <cell r="D56" t="str">
            <v>Fast Food</v>
          </cell>
          <cell r="E56">
            <v>46063</v>
          </cell>
          <cell r="H56">
            <v>1218</v>
          </cell>
          <cell r="I56" t="str">
            <v>Delivered</v>
          </cell>
          <cell r="K56" t="str">
            <v>North</v>
          </cell>
        </row>
        <row r="57">
          <cell r="D57" t="str">
            <v>Mexican</v>
          </cell>
          <cell r="E57">
            <v>46112</v>
          </cell>
          <cell r="H57">
            <v>1315</v>
          </cell>
          <cell r="I57" t="str">
            <v>Delivered</v>
          </cell>
          <cell r="K57" t="str">
            <v>North</v>
          </cell>
        </row>
        <row r="58">
          <cell r="D58" t="str">
            <v>Chinese</v>
          </cell>
          <cell r="E58">
            <v>46101</v>
          </cell>
          <cell r="H58">
            <v>802</v>
          </cell>
          <cell r="I58" t="str">
            <v>Delivered</v>
          </cell>
          <cell r="K58" t="str">
            <v>East</v>
          </cell>
        </row>
        <row r="59">
          <cell r="D59" t="str">
            <v>Fast Food</v>
          </cell>
          <cell r="E59">
            <v>46106</v>
          </cell>
          <cell r="H59">
            <v>1132</v>
          </cell>
          <cell r="I59" t="str">
            <v>Delivered</v>
          </cell>
          <cell r="K59" t="str">
            <v>West</v>
          </cell>
        </row>
        <row r="60">
          <cell r="D60" t="str">
            <v>Mexican</v>
          </cell>
          <cell r="E60">
            <v>46044</v>
          </cell>
          <cell r="H60">
            <v>866</v>
          </cell>
          <cell r="I60" t="str">
            <v>Delivered</v>
          </cell>
          <cell r="K60" t="str">
            <v>South</v>
          </cell>
        </row>
        <row r="61">
          <cell r="D61" t="str">
            <v>Chinese</v>
          </cell>
          <cell r="E61">
            <v>46048</v>
          </cell>
          <cell r="H61">
            <v>230</v>
          </cell>
          <cell r="I61" t="str">
            <v>Delivered</v>
          </cell>
          <cell r="K61" t="str">
            <v>Central</v>
          </cell>
        </row>
        <row r="62">
          <cell r="D62" t="str">
            <v>Indian</v>
          </cell>
          <cell r="E62">
            <v>46081</v>
          </cell>
          <cell r="H62">
            <v>966</v>
          </cell>
          <cell r="I62" t="str">
            <v>Delivered</v>
          </cell>
          <cell r="K62" t="str">
            <v>Central</v>
          </cell>
        </row>
        <row r="63">
          <cell r="D63" t="str">
            <v>Indian</v>
          </cell>
          <cell r="E63">
            <v>46036</v>
          </cell>
          <cell r="H63">
            <v>628</v>
          </cell>
          <cell r="I63" t="str">
            <v>Delivered</v>
          </cell>
          <cell r="K63" t="str">
            <v>Central</v>
          </cell>
        </row>
        <row r="64">
          <cell r="D64" t="str">
            <v>Indian</v>
          </cell>
          <cell r="E64">
            <v>46094</v>
          </cell>
          <cell r="H64">
            <v>453</v>
          </cell>
          <cell r="I64" t="str">
            <v>Cancelled</v>
          </cell>
          <cell r="K64" t="str">
            <v>Central</v>
          </cell>
        </row>
        <row r="65">
          <cell r="D65" t="str">
            <v>Fast Food</v>
          </cell>
          <cell r="E65">
            <v>46063</v>
          </cell>
          <cell r="H65">
            <v>1434</v>
          </cell>
          <cell r="I65" t="str">
            <v>Cancelled</v>
          </cell>
          <cell r="K65" t="str">
            <v>East</v>
          </cell>
        </row>
        <row r="66">
          <cell r="D66" t="str">
            <v>Fast Food</v>
          </cell>
          <cell r="E66">
            <v>46080</v>
          </cell>
          <cell r="H66">
            <v>1101</v>
          </cell>
          <cell r="I66" t="str">
            <v>Delivered</v>
          </cell>
          <cell r="K66" t="str">
            <v>West</v>
          </cell>
        </row>
        <row r="67">
          <cell r="D67" t="str">
            <v>Fast Food</v>
          </cell>
          <cell r="E67">
            <v>46085</v>
          </cell>
          <cell r="H67">
            <v>742</v>
          </cell>
          <cell r="I67" t="str">
            <v>Delivered</v>
          </cell>
          <cell r="K67" t="str">
            <v>West</v>
          </cell>
        </row>
        <row r="68">
          <cell r="D68" t="str">
            <v>Italian</v>
          </cell>
          <cell r="E68">
            <v>46065</v>
          </cell>
          <cell r="H68">
            <v>488</v>
          </cell>
          <cell r="I68" t="str">
            <v>Delivered</v>
          </cell>
          <cell r="K68" t="str">
            <v>East</v>
          </cell>
        </row>
        <row r="69">
          <cell r="D69" t="str">
            <v>Indian</v>
          </cell>
          <cell r="E69">
            <v>46076</v>
          </cell>
          <cell r="H69">
            <v>857</v>
          </cell>
          <cell r="I69" t="str">
            <v>Delivered</v>
          </cell>
          <cell r="K69" t="str">
            <v>South</v>
          </cell>
        </row>
        <row r="70">
          <cell r="D70" t="str">
            <v>Chinese</v>
          </cell>
          <cell r="E70">
            <v>46076</v>
          </cell>
          <cell r="H70">
            <v>1359</v>
          </cell>
          <cell r="I70" t="str">
            <v>Delivered</v>
          </cell>
          <cell r="K70" t="str">
            <v>South</v>
          </cell>
        </row>
        <row r="71">
          <cell r="D71" t="str">
            <v>Italian</v>
          </cell>
          <cell r="E71">
            <v>46072</v>
          </cell>
          <cell r="H71">
            <v>1282</v>
          </cell>
          <cell r="I71" t="str">
            <v>Delivered</v>
          </cell>
          <cell r="K71" t="str">
            <v>South</v>
          </cell>
        </row>
        <row r="72">
          <cell r="D72" t="str">
            <v>Chinese</v>
          </cell>
          <cell r="E72">
            <v>46085</v>
          </cell>
          <cell r="H72">
            <v>976</v>
          </cell>
          <cell r="I72" t="str">
            <v>Delivered</v>
          </cell>
          <cell r="K72" t="str">
            <v>Central</v>
          </cell>
        </row>
        <row r="73">
          <cell r="D73" t="str">
            <v>Mexican</v>
          </cell>
          <cell r="E73">
            <v>46039</v>
          </cell>
          <cell r="H73">
            <v>1273</v>
          </cell>
          <cell r="I73" t="str">
            <v>Delivered</v>
          </cell>
          <cell r="K73" t="str">
            <v>North</v>
          </cell>
        </row>
        <row r="74">
          <cell r="D74" t="str">
            <v>Fast Food</v>
          </cell>
          <cell r="E74">
            <v>46107</v>
          </cell>
          <cell r="H74">
            <v>1125</v>
          </cell>
          <cell r="I74" t="str">
            <v>Delivered</v>
          </cell>
          <cell r="K74" t="str">
            <v>West</v>
          </cell>
        </row>
        <row r="75">
          <cell r="D75" t="str">
            <v>Italian</v>
          </cell>
          <cell r="E75">
            <v>46050</v>
          </cell>
          <cell r="H75">
            <v>849</v>
          </cell>
          <cell r="I75" t="str">
            <v>Delivered</v>
          </cell>
          <cell r="K75" t="str">
            <v>East</v>
          </cell>
        </row>
        <row r="76">
          <cell r="D76" t="str">
            <v>Mexican</v>
          </cell>
          <cell r="E76">
            <v>46055</v>
          </cell>
          <cell r="H76">
            <v>286</v>
          </cell>
          <cell r="I76" t="str">
            <v>Delayed</v>
          </cell>
          <cell r="K76" t="str">
            <v>West</v>
          </cell>
        </row>
        <row r="77">
          <cell r="D77" t="str">
            <v>Indian</v>
          </cell>
          <cell r="E77">
            <v>46106</v>
          </cell>
          <cell r="H77">
            <v>243</v>
          </cell>
          <cell r="I77" t="str">
            <v>Delayed</v>
          </cell>
          <cell r="K77" t="str">
            <v>East</v>
          </cell>
        </row>
        <row r="78">
          <cell r="D78" t="str">
            <v>Fast Food</v>
          </cell>
          <cell r="E78">
            <v>46042</v>
          </cell>
          <cell r="H78">
            <v>1335</v>
          </cell>
          <cell r="I78" t="str">
            <v>Delayed</v>
          </cell>
          <cell r="K78" t="str">
            <v>North</v>
          </cell>
        </row>
        <row r="79">
          <cell r="D79" t="str">
            <v>Italian</v>
          </cell>
          <cell r="E79">
            <v>46044</v>
          </cell>
          <cell r="H79">
            <v>1423</v>
          </cell>
          <cell r="I79" t="str">
            <v>Delayed</v>
          </cell>
          <cell r="K79" t="str">
            <v>West</v>
          </cell>
        </row>
        <row r="80">
          <cell r="D80" t="str">
            <v>Italian</v>
          </cell>
          <cell r="E80">
            <v>46036</v>
          </cell>
          <cell r="H80">
            <v>948</v>
          </cell>
          <cell r="I80" t="str">
            <v>Delivered</v>
          </cell>
          <cell r="K80" t="str">
            <v>North</v>
          </cell>
        </row>
        <row r="81">
          <cell r="D81" t="str">
            <v>Fast Food</v>
          </cell>
          <cell r="E81">
            <v>46111</v>
          </cell>
          <cell r="H81">
            <v>388</v>
          </cell>
          <cell r="I81" t="str">
            <v>Delivered</v>
          </cell>
          <cell r="K81" t="str">
            <v>East</v>
          </cell>
        </row>
        <row r="82">
          <cell r="D82" t="str">
            <v>Indian</v>
          </cell>
          <cell r="E82">
            <v>46095</v>
          </cell>
          <cell r="H82">
            <v>938</v>
          </cell>
          <cell r="I82" t="str">
            <v>Delivered</v>
          </cell>
          <cell r="K82" t="str">
            <v>Central</v>
          </cell>
        </row>
        <row r="83">
          <cell r="D83" t="str">
            <v>Mexican</v>
          </cell>
          <cell r="E83">
            <v>46085</v>
          </cell>
          <cell r="H83">
            <v>1067</v>
          </cell>
          <cell r="I83" t="str">
            <v>Delayed</v>
          </cell>
          <cell r="K83" t="str">
            <v>North</v>
          </cell>
        </row>
        <row r="84">
          <cell r="D84" t="str">
            <v>Mexican</v>
          </cell>
          <cell r="E84">
            <v>46045</v>
          </cell>
          <cell r="H84">
            <v>1441</v>
          </cell>
          <cell r="I84" t="str">
            <v>Cancelled</v>
          </cell>
          <cell r="K84" t="str">
            <v>Central</v>
          </cell>
        </row>
        <row r="85">
          <cell r="D85" t="str">
            <v>Mexican</v>
          </cell>
          <cell r="E85">
            <v>46078</v>
          </cell>
          <cell r="H85">
            <v>729</v>
          </cell>
          <cell r="I85" t="str">
            <v>Delivered</v>
          </cell>
          <cell r="K85" t="str">
            <v>North</v>
          </cell>
        </row>
        <row r="86">
          <cell r="D86" t="str">
            <v>Italian</v>
          </cell>
          <cell r="E86">
            <v>46080</v>
          </cell>
          <cell r="H86">
            <v>956</v>
          </cell>
          <cell r="I86" t="str">
            <v>Delivered</v>
          </cell>
          <cell r="K86" t="str">
            <v>East</v>
          </cell>
        </row>
        <row r="87">
          <cell r="D87" t="str">
            <v>Chinese</v>
          </cell>
          <cell r="E87">
            <v>46085</v>
          </cell>
          <cell r="H87">
            <v>906</v>
          </cell>
          <cell r="I87" t="str">
            <v>Cancelled</v>
          </cell>
          <cell r="K87" t="str">
            <v>North</v>
          </cell>
        </row>
        <row r="88">
          <cell r="D88" t="str">
            <v>Fast Food</v>
          </cell>
          <cell r="E88">
            <v>46112</v>
          </cell>
          <cell r="H88">
            <v>571</v>
          </cell>
          <cell r="I88" t="str">
            <v>Delivered</v>
          </cell>
          <cell r="K88" t="str">
            <v>West</v>
          </cell>
        </row>
        <row r="89">
          <cell r="D89" t="str">
            <v>Fast Food</v>
          </cell>
          <cell r="E89">
            <v>46053</v>
          </cell>
          <cell r="H89">
            <v>1185</v>
          </cell>
          <cell r="I89" t="str">
            <v>Delivered</v>
          </cell>
          <cell r="K89" t="str">
            <v>North</v>
          </cell>
        </row>
        <row r="90">
          <cell r="D90" t="str">
            <v>Italian</v>
          </cell>
          <cell r="E90">
            <v>46051</v>
          </cell>
          <cell r="H90">
            <v>935</v>
          </cell>
          <cell r="I90" t="str">
            <v>Delivered</v>
          </cell>
          <cell r="K90" t="str">
            <v>East</v>
          </cell>
        </row>
        <row r="91">
          <cell r="D91" t="str">
            <v>Mexican</v>
          </cell>
          <cell r="E91">
            <v>46093</v>
          </cell>
          <cell r="H91">
            <v>900</v>
          </cell>
          <cell r="I91" t="str">
            <v>Delivered</v>
          </cell>
          <cell r="K91" t="str">
            <v>South</v>
          </cell>
        </row>
        <row r="92">
          <cell r="D92" t="str">
            <v>Italian</v>
          </cell>
          <cell r="E92">
            <v>46052</v>
          </cell>
          <cell r="H92">
            <v>1277</v>
          </cell>
          <cell r="I92" t="str">
            <v>Delayed</v>
          </cell>
          <cell r="K92" t="str">
            <v>Central</v>
          </cell>
        </row>
        <row r="93">
          <cell r="D93" t="str">
            <v>Chinese</v>
          </cell>
          <cell r="E93">
            <v>46084</v>
          </cell>
          <cell r="H93">
            <v>1387</v>
          </cell>
          <cell r="I93" t="str">
            <v>Delayed</v>
          </cell>
          <cell r="K93" t="str">
            <v>South</v>
          </cell>
        </row>
        <row r="94">
          <cell r="D94" t="str">
            <v>Italian</v>
          </cell>
          <cell r="E94">
            <v>46035</v>
          </cell>
          <cell r="H94">
            <v>547</v>
          </cell>
          <cell r="I94" t="str">
            <v>Delivered</v>
          </cell>
          <cell r="K94" t="str">
            <v>Central</v>
          </cell>
        </row>
        <row r="95">
          <cell r="D95" t="str">
            <v>Italian</v>
          </cell>
          <cell r="E95">
            <v>46028</v>
          </cell>
          <cell r="H95">
            <v>1313</v>
          </cell>
          <cell r="I95" t="str">
            <v>Delivered</v>
          </cell>
          <cell r="K95" t="str">
            <v>Central</v>
          </cell>
        </row>
        <row r="96">
          <cell r="D96" t="str">
            <v>Indian</v>
          </cell>
          <cell r="E96">
            <v>46024</v>
          </cell>
          <cell r="H96">
            <v>877</v>
          </cell>
          <cell r="I96" t="str">
            <v>Delivered</v>
          </cell>
          <cell r="K96" t="str">
            <v>North</v>
          </cell>
        </row>
        <row r="97">
          <cell r="D97" t="str">
            <v>Mexican</v>
          </cell>
          <cell r="E97">
            <v>46037</v>
          </cell>
          <cell r="H97">
            <v>1000</v>
          </cell>
          <cell r="I97" t="str">
            <v>Delivered</v>
          </cell>
          <cell r="K97" t="str">
            <v>West</v>
          </cell>
        </row>
        <row r="98">
          <cell r="D98" t="str">
            <v>Chinese</v>
          </cell>
          <cell r="E98">
            <v>46042</v>
          </cell>
          <cell r="H98">
            <v>688</v>
          </cell>
          <cell r="I98" t="str">
            <v>Delivered</v>
          </cell>
          <cell r="K98" t="str">
            <v>South</v>
          </cell>
        </row>
        <row r="99">
          <cell r="D99" t="str">
            <v>Fast Food</v>
          </cell>
          <cell r="E99">
            <v>46102</v>
          </cell>
          <cell r="H99">
            <v>1250</v>
          </cell>
          <cell r="I99" t="str">
            <v>Delivered</v>
          </cell>
          <cell r="K99" t="str">
            <v>Central</v>
          </cell>
        </row>
        <row r="100">
          <cell r="D100" t="str">
            <v>Fast Food</v>
          </cell>
          <cell r="E100">
            <v>46077</v>
          </cell>
          <cell r="H100">
            <v>383</v>
          </cell>
          <cell r="I100" t="str">
            <v>Delayed</v>
          </cell>
          <cell r="K100" t="str">
            <v>Central</v>
          </cell>
        </row>
        <row r="101">
          <cell r="D101" t="str">
            <v>Italian</v>
          </cell>
          <cell r="E101">
            <v>46107</v>
          </cell>
          <cell r="H101">
            <v>501</v>
          </cell>
          <cell r="I101" t="str">
            <v>Delivered</v>
          </cell>
          <cell r="K101" t="str">
            <v>South</v>
          </cell>
        </row>
        <row r="102">
          <cell r="D102" t="str">
            <v>Chinese</v>
          </cell>
          <cell r="E102">
            <v>46023</v>
          </cell>
          <cell r="H102">
            <v>776</v>
          </cell>
          <cell r="I102" t="str">
            <v>Delivered</v>
          </cell>
          <cell r="K102" t="str">
            <v>East</v>
          </cell>
        </row>
        <row r="103">
          <cell r="D103" t="str">
            <v>Mexican</v>
          </cell>
          <cell r="E103">
            <v>46032</v>
          </cell>
          <cell r="H103">
            <v>721</v>
          </cell>
          <cell r="I103" t="str">
            <v>Cancelled</v>
          </cell>
          <cell r="K103" t="str">
            <v>Central</v>
          </cell>
        </row>
        <row r="104">
          <cell r="D104" t="str">
            <v>Mexican</v>
          </cell>
          <cell r="E104">
            <v>46037</v>
          </cell>
          <cell r="H104">
            <v>471</v>
          </cell>
          <cell r="I104" t="str">
            <v>Delivered</v>
          </cell>
          <cell r="K104" t="str">
            <v>South</v>
          </cell>
        </row>
        <row r="105">
          <cell r="D105" t="str">
            <v>Fast Food</v>
          </cell>
          <cell r="E105">
            <v>46095</v>
          </cell>
          <cell r="H105">
            <v>1079</v>
          </cell>
          <cell r="I105" t="str">
            <v>Delivered</v>
          </cell>
          <cell r="K105" t="str">
            <v>Central</v>
          </cell>
        </row>
        <row r="106">
          <cell r="D106" t="str">
            <v>Italian</v>
          </cell>
          <cell r="E106">
            <v>46087</v>
          </cell>
          <cell r="H106">
            <v>261</v>
          </cell>
          <cell r="I106" t="str">
            <v>Delayed</v>
          </cell>
          <cell r="K106" t="str">
            <v>East</v>
          </cell>
        </row>
        <row r="107">
          <cell r="D107" t="str">
            <v>Italian</v>
          </cell>
          <cell r="E107">
            <v>46026</v>
          </cell>
          <cell r="H107">
            <v>648</v>
          </cell>
          <cell r="I107" t="str">
            <v>Delayed</v>
          </cell>
          <cell r="K107" t="str">
            <v>Central</v>
          </cell>
        </row>
        <row r="108">
          <cell r="D108" t="str">
            <v>Indian</v>
          </cell>
          <cell r="E108">
            <v>46109</v>
          </cell>
          <cell r="H108">
            <v>1143</v>
          </cell>
          <cell r="I108" t="str">
            <v>Delivered</v>
          </cell>
          <cell r="K108" t="str">
            <v>West</v>
          </cell>
        </row>
        <row r="109">
          <cell r="D109" t="str">
            <v>Chinese</v>
          </cell>
          <cell r="E109">
            <v>46097</v>
          </cell>
          <cell r="H109">
            <v>1480</v>
          </cell>
          <cell r="I109" t="str">
            <v>Cancelled</v>
          </cell>
          <cell r="K109" t="str">
            <v>West</v>
          </cell>
        </row>
        <row r="110">
          <cell r="D110" t="str">
            <v>Italian</v>
          </cell>
          <cell r="E110">
            <v>46075</v>
          </cell>
          <cell r="H110">
            <v>855</v>
          </cell>
          <cell r="I110" t="str">
            <v>Delivered</v>
          </cell>
          <cell r="K110" t="str">
            <v>North</v>
          </cell>
        </row>
        <row r="111">
          <cell r="D111" t="str">
            <v>Mexican</v>
          </cell>
          <cell r="E111">
            <v>46093</v>
          </cell>
          <cell r="H111">
            <v>1111</v>
          </cell>
          <cell r="I111" t="str">
            <v>Delivered</v>
          </cell>
          <cell r="K111" t="str">
            <v>Central</v>
          </cell>
        </row>
        <row r="112">
          <cell r="D112" t="str">
            <v>Indian</v>
          </cell>
          <cell r="E112">
            <v>46074</v>
          </cell>
          <cell r="H112">
            <v>1291</v>
          </cell>
          <cell r="I112" t="str">
            <v>Delivered</v>
          </cell>
          <cell r="K112" t="str">
            <v>North</v>
          </cell>
        </row>
        <row r="113">
          <cell r="D113" t="str">
            <v>Fast Food</v>
          </cell>
          <cell r="E113">
            <v>46069</v>
          </cell>
          <cell r="H113">
            <v>1200</v>
          </cell>
          <cell r="I113" t="str">
            <v>Delivered</v>
          </cell>
          <cell r="K113" t="str">
            <v>South</v>
          </cell>
        </row>
        <row r="114">
          <cell r="D114" t="str">
            <v>Italian</v>
          </cell>
          <cell r="E114">
            <v>46093</v>
          </cell>
          <cell r="H114">
            <v>428</v>
          </cell>
          <cell r="I114" t="str">
            <v>Delivered</v>
          </cell>
          <cell r="K114" t="str">
            <v>South</v>
          </cell>
        </row>
        <row r="115">
          <cell r="D115" t="str">
            <v>Chinese</v>
          </cell>
          <cell r="E115">
            <v>46062</v>
          </cell>
          <cell r="H115">
            <v>208</v>
          </cell>
          <cell r="I115" t="str">
            <v>Delivered</v>
          </cell>
          <cell r="K115" t="str">
            <v>East</v>
          </cell>
        </row>
        <row r="116">
          <cell r="D116" t="str">
            <v>Indian</v>
          </cell>
          <cell r="E116">
            <v>46082</v>
          </cell>
          <cell r="H116">
            <v>1200</v>
          </cell>
          <cell r="I116" t="str">
            <v>Delayed</v>
          </cell>
          <cell r="K116" t="str">
            <v>East</v>
          </cell>
        </row>
        <row r="117">
          <cell r="D117" t="str">
            <v>Italian</v>
          </cell>
          <cell r="E117">
            <v>46076</v>
          </cell>
          <cell r="H117">
            <v>1147</v>
          </cell>
          <cell r="I117" t="str">
            <v>Delivered</v>
          </cell>
          <cell r="K117" t="str">
            <v>South</v>
          </cell>
        </row>
        <row r="118">
          <cell r="D118" t="str">
            <v>Mexican</v>
          </cell>
          <cell r="E118">
            <v>46047</v>
          </cell>
          <cell r="H118">
            <v>322</v>
          </cell>
          <cell r="I118" t="str">
            <v>Delivered</v>
          </cell>
          <cell r="K118" t="str">
            <v>Central</v>
          </cell>
        </row>
        <row r="119">
          <cell r="D119" t="str">
            <v>Fast Food</v>
          </cell>
          <cell r="E119">
            <v>46057</v>
          </cell>
          <cell r="H119">
            <v>759</v>
          </cell>
          <cell r="I119" t="str">
            <v>Delivered</v>
          </cell>
          <cell r="K119" t="str">
            <v>North</v>
          </cell>
        </row>
        <row r="120">
          <cell r="D120" t="str">
            <v>Mexican</v>
          </cell>
          <cell r="E120">
            <v>46042</v>
          </cell>
          <cell r="H120">
            <v>1310</v>
          </cell>
          <cell r="I120" t="str">
            <v>Cancelled</v>
          </cell>
          <cell r="K120" t="str">
            <v>West</v>
          </cell>
        </row>
        <row r="121">
          <cell r="D121" t="str">
            <v>Italian</v>
          </cell>
          <cell r="E121">
            <v>46047</v>
          </cell>
          <cell r="H121">
            <v>1351</v>
          </cell>
          <cell r="I121" t="str">
            <v>Delivered</v>
          </cell>
          <cell r="K121" t="str">
            <v>Central</v>
          </cell>
        </row>
        <row r="122">
          <cell r="D122" t="str">
            <v>Italian</v>
          </cell>
          <cell r="E122">
            <v>46083</v>
          </cell>
          <cell r="H122">
            <v>491</v>
          </cell>
          <cell r="I122" t="str">
            <v>Delivered</v>
          </cell>
          <cell r="K122" t="str">
            <v>South</v>
          </cell>
        </row>
        <row r="123">
          <cell r="D123" t="str">
            <v>Fast Food</v>
          </cell>
          <cell r="E123">
            <v>46098</v>
          </cell>
          <cell r="H123">
            <v>385</v>
          </cell>
          <cell r="I123" t="str">
            <v>Delayed</v>
          </cell>
          <cell r="K123" t="str">
            <v>Central</v>
          </cell>
        </row>
      </sheetData>
      <sheetData sheetId="2"/>
      <sheetData sheetId="3">
        <row r="6">
          <cell r="B6" t="str">
            <v>North</v>
          </cell>
          <cell r="C6" t="str">
            <v>South</v>
          </cell>
          <cell r="D6" t="str">
            <v>East</v>
          </cell>
          <cell r="E6" t="str">
            <v>West</v>
          </cell>
          <cell r="F6" t="str">
            <v>Central</v>
          </cell>
        </row>
        <row r="7">
          <cell r="A7" t="str">
            <v>Chinese</v>
          </cell>
          <cell r="B7">
            <v>1531</v>
          </cell>
          <cell r="C7">
            <v>7317</v>
          </cell>
          <cell r="D7">
            <v>2754</v>
          </cell>
          <cell r="E7">
            <v>3667</v>
          </cell>
          <cell r="F7">
            <v>1720</v>
          </cell>
        </row>
        <row r="8">
          <cell r="A8" t="str">
            <v>Fast Food</v>
          </cell>
          <cell r="B8">
            <v>5110</v>
          </cell>
          <cell r="C8">
            <v>1200</v>
          </cell>
          <cell r="D8">
            <v>1822</v>
          </cell>
          <cell r="E8">
            <v>6537</v>
          </cell>
          <cell r="F8">
            <v>3789</v>
          </cell>
        </row>
        <row r="9">
          <cell r="A9" t="str">
            <v>Indian</v>
          </cell>
          <cell r="B9">
            <v>3180</v>
          </cell>
          <cell r="C9">
            <v>857</v>
          </cell>
          <cell r="D9">
            <v>7839</v>
          </cell>
          <cell r="E9">
            <v>1726</v>
          </cell>
          <cell r="F9">
            <v>4883</v>
          </cell>
        </row>
        <row r="10">
          <cell r="A10" t="str">
            <v>Italian</v>
          </cell>
          <cell r="B10">
            <v>3836</v>
          </cell>
          <cell r="C10">
            <v>7628</v>
          </cell>
          <cell r="D10">
            <v>7228</v>
          </cell>
          <cell r="E10">
            <v>3779</v>
          </cell>
          <cell r="F10">
            <v>6402</v>
          </cell>
        </row>
        <row r="11">
          <cell r="A11" t="str">
            <v>Mexican</v>
          </cell>
          <cell r="B11">
            <v>5816</v>
          </cell>
          <cell r="C11">
            <v>2959</v>
          </cell>
          <cell r="D11">
            <v>1484</v>
          </cell>
          <cell r="E11">
            <v>4429</v>
          </cell>
          <cell r="F11">
            <v>4672</v>
          </cell>
        </row>
      </sheetData>
      <sheetData sheetId="4"/>
      <sheetData sheetId="5"/>
      <sheetData sheetId="6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F02EC5-921F-44BC-95F4-C99208F9D837}" name="tblOrders" displayName="tblOrders" ref="A1:I121">
  <autoFilter ref="A1:I121" xr:uid="{B6F02EC5-921F-44BC-95F4-C99208F9D837}"/>
  <tableColumns count="9">
    <tableColumn id="1" xr3:uid="{3EC00397-0711-4999-9E23-F86D2F0EA3CB}" name="OrderID"/>
    <tableColumn id="2" xr3:uid="{84AABE70-085F-47C4-9B40-73F47F129A1C}" name="CustomerName"/>
    <tableColumn id="3" xr3:uid="{C400E5CB-5E0D-4DF0-8D3C-08ACDA0814C4}" name="RestaurantID"/>
    <tableColumn id="4" xr3:uid="{DD46E6BA-4F97-43C2-BE78-7574FCD9E349}" name="Cuisine"/>
    <tableColumn id="5" xr3:uid="{F6142AB5-046F-4DDD-A390-414F353DBBAC}" name="OrderDate"/>
    <tableColumn id="6" xr3:uid="{924FE5A4-6275-49AB-93A9-2A6D8F04D7DD}" name="DeliveryTime" dataDxfId="2"/>
    <tableColumn id="7" xr3:uid="{F3523451-BA6F-419D-9B4E-B1EF962AF53E}" name="Rating" dataDxfId="1"/>
    <tableColumn id="8" xr3:uid="{4D45D75A-66D4-49F9-8E41-CC8AA51C29E7}" name="Revenue" dataDxfId="0"/>
    <tableColumn id="9" xr3:uid="{86F7AF40-B230-4A07-8691-8CE7F907B641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57970F-A4B3-4DBB-8C59-FF09134CEE0C}" name="tblOrdersT2" displayName="tblOrdersT2" ref="A1:K121" totalsRowShown="0">
  <autoFilter ref="A1:K121" xr:uid="{9057970F-A4B3-4DBB-8C59-FF09134CEE0C}"/>
  <tableColumns count="11">
    <tableColumn id="1" xr3:uid="{00DE7BE8-917C-46E5-AF52-FB87FA21E8B9}" name="OrderID"/>
    <tableColumn id="2" xr3:uid="{01C869F9-84A2-4130-BDB7-F5F1489DDE97}" name="CustomerName"/>
    <tableColumn id="3" xr3:uid="{D64BA1FE-8898-46C5-BCD8-E616F9865F80}" name="RestaurantID"/>
    <tableColumn id="4" xr3:uid="{295EE224-32E3-49AC-BCE9-9FAEF0983F31}" name="Cuisine"/>
    <tableColumn id="5" xr3:uid="{E4915065-F097-4B0C-94FE-10B2FB39C8A5}" name="OrderDate" dataDxfId="5"/>
    <tableColumn id="6" xr3:uid="{D0043FBD-9B37-4149-8756-CEE34F7DAE29}" name="DeliveryTime" dataDxfId="4"/>
    <tableColumn id="7" xr3:uid="{4A95FCFC-E8F4-4ED6-A016-F4D6C7107311}" name="Rating" dataDxfId="3"/>
    <tableColumn id="8" xr3:uid="{CAFA9CE3-113D-4D2E-B726-F4BCDA86EBFD}" name="Revenue"/>
    <tableColumn id="9" xr3:uid="{5C46E9B4-BDC3-47E0-B1FB-5F8EB914AECE}" name="Status"/>
    <tableColumn id="10" xr3:uid="{FC112566-B37F-4477-AD69-680DA1365EA6}" name="RestaurantName (XLOOKUP)">
      <calculatedColumnFormula>_xlfn.XLOOKUP(C2,[1]!tblRestaurants[RestaurantID],[1]!tblRestaurants[RestaurantName],"Not Listed")</calculatedColumnFormula>
    </tableColumn>
    <tableColumn id="11" xr3:uid="{B10D15AC-899A-42D8-B6AB-591405518169}" name="Zone (INDEX-MATCH)">
      <calculatedColumnFormula>INDEX([1]!tblRestaurants[Zone],MATCH(C2,[1]!tblRestaurants[RestaurantID],0))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E712-4E4B-4EFD-93FF-EEB0FAF9513B}">
  <dimension ref="A1:I121"/>
  <sheetViews>
    <sheetView tabSelected="1" workbookViewId="0">
      <selection activeCell="Q4" sqref="Q4"/>
    </sheetView>
  </sheetViews>
  <sheetFormatPr defaultRowHeight="14.4" x14ac:dyDescent="0.3"/>
  <cols>
    <col min="1" max="1" width="11.77734375" customWidth="1"/>
    <col min="2" max="2" width="18" customWidth="1"/>
    <col min="3" max="3" width="18.77734375" customWidth="1"/>
    <col min="4" max="4" width="12.109375" customWidth="1"/>
    <col min="5" max="5" width="15.44140625" customWidth="1"/>
    <col min="6" max="6" width="15.77734375" style="3" customWidth="1"/>
    <col min="7" max="7" width="13.109375" customWidth="1"/>
    <col min="8" max="8" width="12.77734375" customWidth="1"/>
    <col min="9" max="9" width="14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2">
        <v>46058</v>
      </c>
      <c r="F2" s="3">
        <v>57</v>
      </c>
      <c r="G2" s="3">
        <v>3</v>
      </c>
      <c r="H2" s="3">
        <v>389</v>
      </c>
      <c r="I2" t="s">
        <v>13</v>
      </c>
    </row>
    <row r="3" spans="1:9" x14ac:dyDescent="0.3">
      <c r="A3" t="s">
        <v>14</v>
      </c>
      <c r="B3" t="s">
        <v>15</v>
      </c>
      <c r="C3" t="s">
        <v>16</v>
      </c>
      <c r="D3" t="s">
        <v>12</v>
      </c>
      <c r="E3" s="2">
        <v>46100</v>
      </c>
      <c r="F3" s="3">
        <v>67</v>
      </c>
      <c r="G3" s="3">
        <v>3</v>
      </c>
      <c r="H3" s="3">
        <v>268</v>
      </c>
      <c r="I3" t="s">
        <v>13</v>
      </c>
    </row>
    <row r="4" spans="1:9" x14ac:dyDescent="0.3">
      <c r="A4" t="s">
        <v>17</v>
      </c>
      <c r="B4" t="s">
        <v>18</v>
      </c>
      <c r="C4" t="s">
        <v>19</v>
      </c>
      <c r="D4" t="s">
        <v>20</v>
      </c>
      <c r="E4" s="2">
        <v>46033</v>
      </c>
      <c r="F4" s="3">
        <v>13</v>
      </c>
      <c r="G4" s="3">
        <v>4</v>
      </c>
      <c r="H4" s="3">
        <v>920</v>
      </c>
      <c r="I4" t="s">
        <v>13</v>
      </c>
    </row>
    <row r="5" spans="1:9" x14ac:dyDescent="0.3">
      <c r="A5" t="s">
        <v>21</v>
      </c>
      <c r="B5" t="s">
        <v>22</v>
      </c>
      <c r="C5" t="s">
        <v>23</v>
      </c>
      <c r="D5" t="s">
        <v>24</v>
      </c>
      <c r="E5" s="2">
        <v>46060</v>
      </c>
      <c r="F5" s="3">
        <v>29</v>
      </c>
      <c r="G5" s="3">
        <v>1</v>
      </c>
      <c r="H5" s="3">
        <v>656</v>
      </c>
      <c r="I5" t="s">
        <v>25</v>
      </c>
    </row>
    <row r="6" spans="1:9" x14ac:dyDescent="0.3">
      <c r="A6" t="s">
        <v>26</v>
      </c>
      <c r="B6" t="s">
        <v>27</v>
      </c>
      <c r="C6" t="s">
        <v>28</v>
      </c>
      <c r="D6" t="s">
        <v>20</v>
      </c>
      <c r="E6" s="2">
        <v>46104</v>
      </c>
      <c r="F6" s="3">
        <v>42</v>
      </c>
      <c r="G6" s="3">
        <v>3</v>
      </c>
      <c r="H6" s="3">
        <v>609</v>
      </c>
      <c r="I6" t="s">
        <v>13</v>
      </c>
    </row>
    <row r="7" spans="1:9" x14ac:dyDescent="0.3">
      <c r="A7" t="s">
        <v>29</v>
      </c>
      <c r="B7" t="s">
        <v>30</v>
      </c>
      <c r="C7" t="s">
        <v>31</v>
      </c>
      <c r="D7" t="s">
        <v>24</v>
      </c>
      <c r="E7" s="2">
        <v>46091</v>
      </c>
      <c r="F7" s="3">
        <v>30</v>
      </c>
      <c r="G7" s="3">
        <v>2</v>
      </c>
      <c r="H7" s="3">
        <v>514</v>
      </c>
      <c r="I7" t="s">
        <v>13</v>
      </c>
    </row>
    <row r="8" spans="1:9" x14ac:dyDescent="0.3">
      <c r="A8" t="s">
        <v>32</v>
      </c>
      <c r="B8" t="s">
        <v>33</v>
      </c>
      <c r="C8" t="s">
        <v>34</v>
      </c>
      <c r="D8" t="s">
        <v>24</v>
      </c>
      <c r="E8" s="2">
        <v>46110</v>
      </c>
      <c r="F8" s="3">
        <v>27</v>
      </c>
      <c r="G8" s="3">
        <v>1</v>
      </c>
      <c r="H8" s="3">
        <v>649</v>
      </c>
      <c r="I8" t="s">
        <v>35</v>
      </c>
    </row>
    <row r="9" spans="1:9" x14ac:dyDescent="0.3">
      <c r="A9" t="s">
        <v>36</v>
      </c>
      <c r="B9" t="s">
        <v>37</v>
      </c>
      <c r="C9" t="s">
        <v>38</v>
      </c>
      <c r="D9" t="s">
        <v>12</v>
      </c>
      <c r="E9" s="2">
        <v>46031</v>
      </c>
      <c r="F9" s="3">
        <v>59</v>
      </c>
      <c r="G9" s="3">
        <v>2</v>
      </c>
      <c r="H9" s="3">
        <v>1341</v>
      </c>
      <c r="I9" t="s">
        <v>25</v>
      </c>
    </row>
    <row r="10" spans="1:9" x14ac:dyDescent="0.3">
      <c r="A10" t="s">
        <v>39</v>
      </c>
      <c r="B10" t="s">
        <v>37</v>
      </c>
      <c r="C10" t="s">
        <v>40</v>
      </c>
      <c r="D10" t="s">
        <v>20</v>
      </c>
      <c r="E10" s="2">
        <v>46073</v>
      </c>
      <c r="F10" s="3">
        <v>53</v>
      </c>
      <c r="G10" s="3">
        <v>2</v>
      </c>
      <c r="H10" s="3">
        <v>722</v>
      </c>
      <c r="I10" t="s">
        <v>13</v>
      </c>
    </row>
    <row r="11" spans="1:9" x14ac:dyDescent="0.3">
      <c r="A11" t="s">
        <v>41</v>
      </c>
      <c r="B11" t="s">
        <v>42</v>
      </c>
      <c r="C11" t="s">
        <v>34</v>
      </c>
      <c r="D11" t="s">
        <v>12</v>
      </c>
      <c r="E11" s="2">
        <v>46097</v>
      </c>
      <c r="F11" s="3">
        <v>24</v>
      </c>
      <c r="G11" s="3">
        <v>4</v>
      </c>
      <c r="H11" s="3">
        <v>1375</v>
      </c>
      <c r="I11" t="s">
        <v>13</v>
      </c>
    </row>
    <row r="12" spans="1:9" x14ac:dyDescent="0.3">
      <c r="A12" t="s">
        <v>43</v>
      </c>
      <c r="B12" t="s">
        <v>44</v>
      </c>
      <c r="C12" t="s">
        <v>45</v>
      </c>
      <c r="D12" t="s">
        <v>46</v>
      </c>
      <c r="E12" s="2">
        <v>46086</v>
      </c>
      <c r="F12" s="3">
        <v>41</v>
      </c>
      <c r="G12" s="3">
        <v>1</v>
      </c>
      <c r="H12" s="3">
        <v>493</v>
      </c>
      <c r="I12" t="s">
        <v>13</v>
      </c>
    </row>
    <row r="13" spans="1:9" x14ac:dyDescent="0.3">
      <c r="A13" t="s">
        <v>47</v>
      </c>
      <c r="B13" t="s">
        <v>48</v>
      </c>
      <c r="C13" t="s">
        <v>31</v>
      </c>
      <c r="D13" t="s">
        <v>49</v>
      </c>
      <c r="E13" s="2">
        <v>46072</v>
      </c>
      <c r="F13" s="3">
        <v>40</v>
      </c>
      <c r="G13" s="3">
        <v>4</v>
      </c>
      <c r="H13" s="3">
        <v>1400</v>
      </c>
      <c r="I13" t="s">
        <v>25</v>
      </c>
    </row>
    <row r="14" spans="1:9" x14ac:dyDescent="0.3">
      <c r="A14" t="s">
        <v>50</v>
      </c>
      <c r="B14" t="s">
        <v>51</v>
      </c>
      <c r="C14" t="s">
        <v>28</v>
      </c>
      <c r="D14" t="s">
        <v>46</v>
      </c>
      <c r="E14" s="2">
        <v>46024</v>
      </c>
      <c r="F14" s="3">
        <v>35</v>
      </c>
      <c r="G14" s="3">
        <v>5</v>
      </c>
      <c r="H14" s="3">
        <v>726</v>
      </c>
      <c r="I14" t="s">
        <v>35</v>
      </c>
    </row>
    <row r="15" spans="1:9" x14ac:dyDescent="0.3">
      <c r="A15" t="s">
        <v>52</v>
      </c>
      <c r="B15" t="s">
        <v>53</v>
      </c>
      <c r="C15" t="s">
        <v>19</v>
      </c>
      <c r="D15" t="s">
        <v>12</v>
      </c>
      <c r="E15" s="2">
        <v>46078</v>
      </c>
      <c r="F15" s="3">
        <v>31</v>
      </c>
      <c r="G15" s="3">
        <v>2</v>
      </c>
      <c r="H15" s="3">
        <v>1109</v>
      </c>
      <c r="I15" t="s">
        <v>13</v>
      </c>
    </row>
    <row r="16" spans="1:9" x14ac:dyDescent="0.3">
      <c r="A16" t="s">
        <v>54</v>
      </c>
      <c r="B16" t="s">
        <v>55</v>
      </c>
      <c r="C16" t="s">
        <v>56</v>
      </c>
      <c r="D16" t="s">
        <v>24</v>
      </c>
      <c r="E16" s="2">
        <v>46087</v>
      </c>
      <c r="F16" s="3">
        <v>62</v>
      </c>
      <c r="G16" s="3">
        <v>3</v>
      </c>
      <c r="H16" s="3">
        <v>1488</v>
      </c>
      <c r="I16" t="s">
        <v>13</v>
      </c>
    </row>
    <row r="17" spans="1:9" x14ac:dyDescent="0.3">
      <c r="A17" t="s">
        <v>57</v>
      </c>
      <c r="B17" t="s">
        <v>58</v>
      </c>
      <c r="C17" t="s">
        <v>45</v>
      </c>
      <c r="D17" t="s">
        <v>12</v>
      </c>
      <c r="E17" s="2">
        <v>46043</v>
      </c>
      <c r="F17" s="3">
        <v>23</v>
      </c>
      <c r="G17" s="3">
        <v>5</v>
      </c>
      <c r="H17" s="3">
        <v>1266</v>
      </c>
      <c r="I17" t="s">
        <v>25</v>
      </c>
    </row>
    <row r="18" spans="1:9" x14ac:dyDescent="0.3">
      <c r="A18" t="s">
        <v>59</v>
      </c>
      <c r="B18" t="s">
        <v>60</v>
      </c>
      <c r="C18" t="s">
        <v>61</v>
      </c>
      <c r="D18" t="s">
        <v>20</v>
      </c>
      <c r="E18" s="2">
        <v>46025</v>
      </c>
      <c r="F18" s="3">
        <v>48</v>
      </c>
      <c r="G18" s="3">
        <v>3</v>
      </c>
      <c r="H18" s="3">
        <v>670</v>
      </c>
      <c r="I18" t="s">
        <v>13</v>
      </c>
    </row>
    <row r="19" spans="1:9" x14ac:dyDescent="0.3">
      <c r="A19" t="s">
        <v>62</v>
      </c>
      <c r="B19" t="s">
        <v>63</v>
      </c>
      <c r="C19" t="s">
        <v>64</v>
      </c>
      <c r="D19" t="s">
        <v>49</v>
      </c>
      <c r="E19" s="2">
        <v>46085</v>
      </c>
      <c r="F19" s="3">
        <v>46</v>
      </c>
      <c r="G19" s="3">
        <v>1</v>
      </c>
      <c r="H19" s="3">
        <v>1270</v>
      </c>
      <c r="I19" t="s">
        <v>35</v>
      </c>
    </row>
    <row r="20" spans="1:9" x14ac:dyDescent="0.3">
      <c r="A20" t="s">
        <v>65</v>
      </c>
      <c r="B20" t="s">
        <v>66</v>
      </c>
      <c r="C20" t="s">
        <v>67</v>
      </c>
      <c r="D20" t="s">
        <v>46</v>
      </c>
      <c r="E20" s="2">
        <v>46044</v>
      </c>
      <c r="F20" s="3">
        <v>35</v>
      </c>
      <c r="G20" s="3">
        <v>4</v>
      </c>
      <c r="H20" s="3">
        <v>613</v>
      </c>
      <c r="I20" t="s">
        <v>25</v>
      </c>
    </row>
    <row r="21" spans="1:9" x14ac:dyDescent="0.3">
      <c r="A21" t="s">
        <v>68</v>
      </c>
      <c r="B21" t="s">
        <v>58</v>
      </c>
      <c r="C21" t="s">
        <v>69</v>
      </c>
      <c r="D21" t="s">
        <v>20</v>
      </c>
      <c r="E21" s="2">
        <v>46108</v>
      </c>
      <c r="F21" s="3">
        <v>66</v>
      </c>
      <c r="G21" s="3">
        <v>3</v>
      </c>
      <c r="H21" s="3">
        <v>1077</v>
      </c>
      <c r="I21" t="s">
        <v>25</v>
      </c>
    </row>
    <row r="22" spans="1:9" x14ac:dyDescent="0.3">
      <c r="A22" t="s">
        <v>70</v>
      </c>
      <c r="B22" t="s">
        <v>71</v>
      </c>
      <c r="C22" t="s">
        <v>19</v>
      </c>
      <c r="D22" t="s">
        <v>24</v>
      </c>
      <c r="E22" s="2">
        <v>46051</v>
      </c>
      <c r="F22" s="3">
        <v>40</v>
      </c>
      <c r="G22" s="3">
        <v>5</v>
      </c>
      <c r="H22" s="3">
        <v>651</v>
      </c>
      <c r="I22" t="s">
        <v>13</v>
      </c>
    </row>
    <row r="23" spans="1:9" x14ac:dyDescent="0.3">
      <c r="A23" t="s">
        <v>72</v>
      </c>
      <c r="B23" t="s">
        <v>73</v>
      </c>
      <c r="C23" t="s">
        <v>64</v>
      </c>
      <c r="D23" t="s">
        <v>49</v>
      </c>
      <c r="E23" s="2">
        <v>46052</v>
      </c>
      <c r="F23" s="3">
        <v>39</v>
      </c>
      <c r="G23" s="3">
        <v>1</v>
      </c>
      <c r="H23" s="3">
        <v>244</v>
      </c>
      <c r="I23" t="s">
        <v>25</v>
      </c>
    </row>
    <row r="24" spans="1:9" x14ac:dyDescent="0.3">
      <c r="A24" t="s">
        <v>74</v>
      </c>
      <c r="B24" t="s">
        <v>30</v>
      </c>
      <c r="C24" t="s">
        <v>56</v>
      </c>
      <c r="D24" t="s">
        <v>24</v>
      </c>
      <c r="E24" s="2">
        <v>46058</v>
      </c>
      <c r="F24" s="3">
        <v>33</v>
      </c>
      <c r="G24" s="3">
        <v>2</v>
      </c>
      <c r="H24" s="3">
        <v>1349</v>
      </c>
      <c r="I24" t="s">
        <v>13</v>
      </c>
    </row>
    <row r="25" spans="1:9" x14ac:dyDescent="0.3">
      <c r="A25" t="s">
        <v>75</v>
      </c>
      <c r="B25" t="s">
        <v>76</v>
      </c>
      <c r="C25" t="s">
        <v>67</v>
      </c>
      <c r="D25" t="s">
        <v>20</v>
      </c>
      <c r="E25" s="2">
        <v>46047</v>
      </c>
      <c r="F25" s="3">
        <v>29</v>
      </c>
      <c r="G25" s="3">
        <v>1</v>
      </c>
      <c r="H25" s="3">
        <v>378</v>
      </c>
      <c r="I25" t="s">
        <v>13</v>
      </c>
    </row>
    <row r="26" spans="1:9" x14ac:dyDescent="0.3">
      <c r="A26" t="s">
        <v>77</v>
      </c>
      <c r="B26" t="s">
        <v>78</v>
      </c>
      <c r="C26" t="s">
        <v>11</v>
      </c>
      <c r="D26" t="s">
        <v>20</v>
      </c>
      <c r="E26" s="2">
        <v>46082</v>
      </c>
      <c r="F26" s="3">
        <v>41</v>
      </c>
      <c r="G26" s="3">
        <v>1</v>
      </c>
      <c r="H26" s="3">
        <v>304</v>
      </c>
      <c r="I26" t="s">
        <v>13</v>
      </c>
    </row>
    <row r="27" spans="1:9" x14ac:dyDescent="0.3">
      <c r="A27" t="s">
        <v>79</v>
      </c>
      <c r="B27" t="s">
        <v>53</v>
      </c>
      <c r="C27" t="s">
        <v>19</v>
      </c>
      <c r="D27" t="s">
        <v>24</v>
      </c>
      <c r="E27" s="2">
        <v>46047</v>
      </c>
      <c r="F27" s="3">
        <v>34</v>
      </c>
      <c r="G27" s="3">
        <v>2</v>
      </c>
      <c r="H27" s="3">
        <v>1278</v>
      </c>
      <c r="I27" t="s">
        <v>13</v>
      </c>
    </row>
    <row r="28" spans="1:9" x14ac:dyDescent="0.3">
      <c r="A28" t="s">
        <v>80</v>
      </c>
      <c r="B28" t="s">
        <v>48</v>
      </c>
      <c r="C28" t="s">
        <v>81</v>
      </c>
      <c r="D28" t="s">
        <v>12</v>
      </c>
      <c r="E28" s="2">
        <v>46082</v>
      </c>
      <c r="F28" s="3">
        <v>38</v>
      </c>
      <c r="G28" s="3">
        <v>4</v>
      </c>
      <c r="H28" s="3">
        <v>1307</v>
      </c>
      <c r="I28" t="s">
        <v>13</v>
      </c>
    </row>
    <row r="29" spans="1:9" x14ac:dyDescent="0.3">
      <c r="A29" t="s">
        <v>82</v>
      </c>
      <c r="B29" t="s">
        <v>83</v>
      </c>
      <c r="C29" t="s">
        <v>84</v>
      </c>
      <c r="D29" t="s">
        <v>49</v>
      </c>
      <c r="E29" s="2">
        <v>46053</v>
      </c>
      <c r="F29" s="3">
        <v>69</v>
      </c>
      <c r="G29" s="3">
        <v>2</v>
      </c>
      <c r="H29" s="3">
        <v>1012</v>
      </c>
      <c r="I29" t="s">
        <v>13</v>
      </c>
    </row>
    <row r="30" spans="1:9" x14ac:dyDescent="0.3">
      <c r="A30" t="s">
        <v>85</v>
      </c>
      <c r="B30" t="s">
        <v>86</v>
      </c>
      <c r="C30" t="s">
        <v>38</v>
      </c>
      <c r="D30" t="s">
        <v>49</v>
      </c>
      <c r="E30" s="2">
        <v>46044</v>
      </c>
      <c r="F30" s="3">
        <v>10</v>
      </c>
      <c r="G30" s="3">
        <v>3</v>
      </c>
      <c r="H30" s="3">
        <v>1111</v>
      </c>
      <c r="I30" t="s">
        <v>13</v>
      </c>
    </row>
    <row r="31" spans="1:9" x14ac:dyDescent="0.3">
      <c r="A31" t="s">
        <v>87</v>
      </c>
      <c r="B31" t="s">
        <v>42</v>
      </c>
      <c r="C31" t="s">
        <v>67</v>
      </c>
      <c r="D31" t="s">
        <v>24</v>
      </c>
      <c r="E31" s="2">
        <v>46047</v>
      </c>
      <c r="F31" s="3">
        <v>66</v>
      </c>
      <c r="G31" s="3">
        <v>3</v>
      </c>
      <c r="H31" s="3">
        <v>625</v>
      </c>
      <c r="I31" t="s">
        <v>25</v>
      </c>
    </row>
    <row r="32" spans="1:9" x14ac:dyDescent="0.3">
      <c r="A32" t="s">
        <v>88</v>
      </c>
      <c r="B32" t="s">
        <v>89</v>
      </c>
      <c r="C32" t="s">
        <v>34</v>
      </c>
      <c r="D32" t="s">
        <v>49</v>
      </c>
      <c r="E32" s="2">
        <v>46063</v>
      </c>
      <c r="F32" s="3">
        <v>55</v>
      </c>
      <c r="G32" s="3">
        <v>5</v>
      </c>
      <c r="H32" s="3">
        <v>1267</v>
      </c>
      <c r="I32" t="s">
        <v>13</v>
      </c>
    </row>
    <row r="33" spans="1:9" x14ac:dyDescent="0.3">
      <c r="A33" t="s">
        <v>90</v>
      </c>
      <c r="B33" t="s">
        <v>91</v>
      </c>
      <c r="C33" t="s">
        <v>64</v>
      </c>
      <c r="D33" t="s">
        <v>24</v>
      </c>
      <c r="E33" s="2">
        <v>46031</v>
      </c>
      <c r="F33" s="3">
        <v>44</v>
      </c>
      <c r="G33" s="3">
        <v>5</v>
      </c>
      <c r="H33" s="3">
        <v>319</v>
      </c>
      <c r="I33" t="s">
        <v>13</v>
      </c>
    </row>
    <row r="34" spans="1:9" x14ac:dyDescent="0.3">
      <c r="A34" t="s">
        <v>92</v>
      </c>
      <c r="B34" t="s">
        <v>93</v>
      </c>
      <c r="C34" t="s">
        <v>38</v>
      </c>
      <c r="D34" t="s">
        <v>49</v>
      </c>
      <c r="E34" s="2">
        <v>46095</v>
      </c>
      <c r="F34" s="3">
        <v>38</v>
      </c>
      <c r="G34" s="3">
        <v>5</v>
      </c>
      <c r="H34" s="3">
        <v>347</v>
      </c>
      <c r="I34" t="s">
        <v>13</v>
      </c>
    </row>
    <row r="35" spans="1:9" x14ac:dyDescent="0.3">
      <c r="A35" t="s">
        <v>94</v>
      </c>
      <c r="B35" t="s">
        <v>89</v>
      </c>
      <c r="C35" t="s">
        <v>95</v>
      </c>
      <c r="D35" t="s">
        <v>46</v>
      </c>
      <c r="E35" s="2">
        <v>46063</v>
      </c>
      <c r="F35" s="3">
        <v>56</v>
      </c>
      <c r="G35" s="3">
        <v>3</v>
      </c>
      <c r="H35" s="3">
        <v>598</v>
      </c>
      <c r="I35" t="s">
        <v>13</v>
      </c>
    </row>
    <row r="36" spans="1:9" x14ac:dyDescent="0.3">
      <c r="A36" t="s">
        <v>96</v>
      </c>
      <c r="B36" t="s">
        <v>37</v>
      </c>
      <c r="C36" t="s">
        <v>97</v>
      </c>
      <c r="D36" t="s">
        <v>12</v>
      </c>
      <c r="E36" s="2">
        <v>46073</v>
      </c>
      <c r="F36" s="3">
        <v>51</v>
      </c>
      <c r="G36" s="3">
        <v>4</v>
      </c>
      <c r="H36" s="3">
        <v>827</v>
      </c>
      <c r="I36" t="s">
        <v>25</v>
      </c>
    </row>
    <row r="37" spans="1:9" x14ac:dyDescent="0.3">
      <c r="A37" t="s">
        <v>98</v>
      </c>
      <c r="B37" t="s">
        <v>30</v>
      </c>
      <c r="C37" t="s">
        <v>84</v>
      </c>
      <c r="D37" t="s">
        <v>20</v>
      </c>
      <c r="E37" s="2">
        <v>46102</v>
      </c>
      <c r="F37" s="3">
        <v>52</v>
      </c>
      <c r="G37" s="3">
        <v>5</v>
      </c>
      <c r="H37" s="3">
        <v>384</v>
      </c>
      <c r="I37" t="s">
        <v>13</v>
      </c>
    </row>
    <row r="38" spans="1:9" x14ac:dyDescent="0.3">
      <c r="A38" t="s">
        <v>99</v>
      </c>
      <c r="B38" t="s">
        <v>86</v>
      </c>
      <c r="C38" t="s">
        <v>56</v>
      </c>
      <c r="D38" t="s">
        <v>12</v>
      </c>
      <c r="E38" s="2">
        <v>46039</v>
      </c>
      <c r="F38" s="3">
        <v>64</v>
      </c>
      <c r="G38" s="3">
        <v>2</v>
      </c>
      <c r="H38" s="3">
        <v>936</v>
      </c>
      <c r="I38" t="s">
        <v>13</v>
      </c>
    </row>
    <row r="39" spans="1:9" x14ac:dyDescent="0.3">
      <c r="A39" t="s">
        <v>100</v>
      </c>
      <c r="B39" t="s">
        <v>101</v>
      </c>
      <c r="C39" t="s">
        <v>34</v>
      </c>
      <c r="D39" t="s">
        <v>12</v>
      </c>
      <c r="E39" s="2">
        <v>46101</v>
      </c>
      <c r="F39" s="3">
        <v>26</v>
      </c>
      <c r="G39" s="3">
        <v>5</v>
      </c>
      <c r="H39" s="3">
        <v>196</v>
      </c>
      <c r="I39" t="s">
        <v>13</v>
      </c>
    </row>
    <row r="40" spans="1:9" x14ac:dyDescent="0.3">
      <c r="A40" t="s">
        <v>102</v>
      </c>
      <c r="B40" t="s">
        <v>103</v>
      </c>
      <c r="C40" t="s">
        <v>69</v>
      </c>
      <c r="D40" t="s">
        <v>49</v>
      </c>
      <c r="E40" s="2">
        <v>46040</v>
      </c>
      <c r="F40" s="3">
        <v>35</v>
      </c>
      <c r="G40" s="3">
        <v>5</v>
      </c>
      <c r="H40" s="3">
        <v>498</v>
      </c>
      <c r="I40" t="s">
        <v>13</v>
      </c>
    </row>
    <row r="41" spans="1:9" x14ac:dyDescent="0.3">
      <c r="A41" t="s">
        <v>104</v>
      </c>
      <c r="B41" t="s">
        <v>105</v>
      </c>
      <c r="C41" t="s">
        <v>40</v>
      </c>
      <c r="D41" t="s">
        <v>12</v>
      </c>
      <c r="E41" s="2">
        <v>46049</v>
      </c>
      <c r="F41" s="3">
        <v>67</v>
      </c>
      <c r="G41" s="3">
        <v>3</v>
      </c>
      <c r="H41" s="3">
        <v>1215</v>
      </c>
      <c r="I41" t="s">
        <v>13</v>
      </c>
    </row>
    <row r="42" spans="1:9" x14ac:dyDescent="0.3">
      <c r="A42" t="s">
        <v>106</v>
      </c>
      <c r="B42" t="s">
        <v>107</v>
      </c>
      <c r="C42" t="s">
        <v>64</v>
      </c>
      <c r="D42" t="s">
        <v>20</v>
      </c>
      <c r="E42" s="2">
        <v>46058</v>
      </c>
      <c r="F42" s="3">
        <v>50</v>
      </c>
      <c r="G42" s="3">
        <v>2</v>
      </c>
      <c r="H42" s="3">
        <v>1484</v>
      </c>
      <c r="I42" t="s">
        <v>25</v>
      </c>
    </row>
    <row r="43" spans="1:9" x14ac:dyDescent="0.3">
      <c r="A43" t="s">
        <v>108</v>
      </c>
      <c r="B43" t="s">
        <v>10</v>
      </c>
      <c r="C43" t="s">
        <v>109</v>
      </c>
      <c r="D43" t="s">
        <v>46</v>
      </c>
      <c r="E43" s="2">
        <v>46077</v>
      </c>
      <c r="F43" s="3">
        <v>41</v>
      </c>
      <c r="G43" s="3">
        <v>5</v>
      </c>
      <c r="H43" s="3">
        <v>199</v>
      </c>
      <c r="I43" t="s">
        <v>13</v>
      </c>
    </row>
    <row r="44" spans="1:9" x14ac:dyDescent="0.3">
      <c r="A44" t="s">
        <v>110</v>
      </c>
      <c r="B44" t="s">
        <v>111</v>
      </c>
      <c r="C44" t="s">
        <v>34</v>
      </c>
      <c r="D44" t="s">
        <v>49</v>
      </c>
      <c r="E44" s="2">
        <v>46070</v>
      </c>
      <c r="F44" s="3">
        <v>31</v>
      </c>
      <c r="G44" s="3">
        <v>2</v>
      </c>
      <c r="H44" s="3">
        <v>265</v>
      </c>
      <c r="I44" t="s">
        <v>13</v>
      </c>
    </row>
    <row r="45" spans="1:9" x14ac:dyDescent="0.3">
      <c r="A45" t="s">
        <v>112</v>
      </c>
      <c r="B45" t="s">
        <v>113</v>
      </c>
      <c r="C45" t="s">
        <v>16</v>
      </c>
      <c r="D45" t="s">
        <v>24</v>
      </c>
      <c r="E45" s="2">
        <v>46110</v>
      </c>
      <c r="F45" s="3">
        <v>34</v>
      </c>
      <c r="G45" s="3">
        <v>2</v>
      </c>
      <c r="H45" s="3">
        <v>390</v>
      </c>
      <c r="I45" t="s">
        <v>13</v>
      </c>
    </row>
    <row r="46" spans="1:9" x14ac:dyDescent="0.3">
      <c r="A46" t="s">
        <v>114</v>
      </c>
      <c r="B46" t="s">
        <v>42</v>
      </c>
      <c r="C46" t="s">
        <v>11</v>
      </c>
      <c r="D46" t="s">
        <v>46</v>
      </c>
      <c r="E46" s="2">
        <v>46042</v>
      </c>
      <c r="F46" s="3">
        <v>47</v>
      </c>
      <c r="G46" s="3">
        <v>2</v>
      </c>
      <c r="H46" s="3">
        <v>542</v>
      </c>
      <c r="I46" t="s">
        <v>25</v>
      </c>
    </row>
    <row r="47" spans="1:9" x14ac:dyDescent="0.3">
      <c r="A47" t="s">
        <v>115</v>
      </c>
      <c r="B47" t="s">
        <v>116</v>
      </c>
      <c r="C47" t="s">
        <v>81</v>
      </c>
      <c r="D47" t="s">
        <v>12</v>
      </c>
      <c r="E47" s="2">
        <v>46075</v>
      </c>
      <c r="F47" s="3">
        <v>33</v>
      </c>
      <c r="G47" s="3">
        <v>2</v>
      </c>
      <c r="H47" s="3">
        <v>726</v>
      </c>
      <c r="I47" t="s">
        <v>13</v>
      </c>
    </row>
    <row r="48" spans="1:9" x14ac:dyDescent="0.3">
      <c r="A48" t="s">
        <v>117</v>
      </c>
      <c r="B48" t="s">
        <v>118</v>
      </c>
      <c r="C48" t="s">
        <v>38</v>
      </c>
      <c r="D48" t="s">
        <v>49</v>
      </c>
      <c r="E48" s="2">
        <v>46083</v>
      </c>
      <c r="F48" s="3">
        <v>42</v>
      </c>
      <c r="G48" s="3">
        <v>4</v>
      </c>
      <c r="H48" s="3">
        <v>896</v>
      </c>
      <c r="I48" t="s">
        <v>13</v>
      </c>
    </row>
    <row r="49" spans="1:9" x14ac:dyDescent="0.3">
      <c r="A49" t="s">
        <v>119</v>
      </c>
      <c r="B49" t="s">
        <v>120</v>
      </c>
      <c r="C49" t="s">
        <v>97</v>
      </c>
      <c r="D49" t="s">
        <v>49</v>
      </c>
      <c r="E49" s="2">
        <v>46107</v>
      </c>
      <c r="F49" s="3">
        <v>63</v>
      </c>
      <c r="G49" s="3">
        <v>2</v>
      </c>
      <c r="H49" s="3">
        <v>996</v>
      </c>
      <c r="I49" t="s">
        <v>13</v>
      </c>
    </row>
    <row r="50" spans="1:9" x14ac:dyDescent="0.3">
      <c r="A50" t="s">
        <v>121</v>
      </c>
      <c r="B50" t="s">
        <v>22</v>
      </c>
      <c r="C50" t="s">
        <v>28</v>
      </c>
      <c r="D50" t="s">
        <v>12</v>
      </c>
      <c r="E50" s="2">
        <v>46105</v>
      </c>
      <c r="F50" s="3">
        <v>16</v>
      </c>
      <c r="G50" s="3">
        <v>5</v>
      </c>
      <c r="H50" s="3">
        <v>858</v>
      </c>
      <c r="I50" t="s">
        <v>25</v>
      </c>
    </row>
    <row r="51" spans="1:9" x14ac:dyDescent="0.3">
      <c r="A51" t="s">
        <v>122</v>
      </c>
      <c r="B51" t="s">
        <v>123</v>
      </c>
      <c r="C51" t="s">
        <v>28</v>
      </c>
      <c r="D51" t="s">
        <v>24</v>
      </c>
      <c r="E51" s="2">
        <v>46097</v>
      </c>
      <c r="F51" s="3">
        <v>36</v>
      </c>
      <c r="G51" s="3">
        <v>3</v>
      </c>
      <c r="H51" s="3">
        <v>258</v>
      </c>
      <c r="I51" t="s">
        <v>13</v>
      </c>
    </row>
    <row r="52" spans="1:9" x14ac:dyDescent="0.3">
      <c r="A52" t="s">
        <v>124</v>
      </c>
      <c r="B52" t="s">
        <v>125</v>
      </c>
      <c r="C52" t="s">
        <v>16</v>
      </c>
      <c r="D52" t="s">
        <v>12</v>
      </c>
      <c r="E52" s="2">
        <v>46078</v>
      </c>
      <c r="F52" s="3">
        <v>24</v>
      </c>
      <c r="G52" s="3">
        <v>4</v>
      </c>
      <c r="H52" s="3">
        <v>1360</v>
      </c>
      <c r="I52" t="s">
        <v>13</v>
      </c>
    </row>
    <row r="53" spans="1:9" x14ac:dyDescent="0.3">
      <c r="A53" t="s">
        <v>126</v>
      </c>
      <c r="B53" t="s">
        <v>113</v>
      </c>
      <c r="C53" t="s">
        <v>11</v>
      </c>
      <c r="D53" t="s">
        <v>49</v>
      </c>
      <c r="E53" s="2">
        <v>46089</v>
      </c>
      <c r="F53" s="3">
        <v>27</v>
      </c>
      <c r="G53" s="3">
        <v>5</v>
      </c>
      <c r="H53" s="3">
        <v>583</v>
      </c>
      <c r="I53" t="s">
        <v>13</v>
      </c>
    </row>
    <row r="54" spans="1:9" x14ac:dyDescent="0.3">
      <c r="A54" t="s">
        <v>127</v>
      </c>
      <c r="B54" t="s">
        <v>22</v>
      </c>
      <c r="C54" t="s">
        <v>61</v>
      </c>
      <c r="D54" t="s">
        <v>46</v>
      </c>
      <c r="E54" s="2">
        <v>46063</v>
      </c>
      <c r="F54" s="3">
        <v>34</v>
      </c>
      <c r="G54" s="3">
        <v>3</v>
      </c>
      <c r="H54" s="3">
        <v>1218</v>
      </c>
      <c r="I54" t="s">
        <v>13</v>
      </c>
    </row>
    <row r="55" spans="1:9" x14ac:dyDescent="0.3">
      <c r="A55" t="s">
        <v>128</v>
      </c>
      <c r="B55" t="s">
        <v>129</v>
      </c>
      <c r="C55" t="s">
        <v>61</v>
      </c>
      <c r="D55" t="s">
        <v>20</v>
      </c>
      <c r="E55" s="2">
        <v>46112</v>
      </c>
      <c r="F55" s="3">
        <v>31</v>
      </c>
      <c r="G55" s="3">
        <v>3</v>
      </c>
      <c r="H55" s="3">
        <v>1315</v>
      </c>
      <c r="I55" t="s">
        <v>13</v>
      </c>
    </row>
    <row r="56" spans="1:9" x14ac:dyDescent="0.3">
      <c r="A56" t="s">
        <v>130</v>
      </c>
      <c r="B56" t="s">
        <v>131</v>
      </c>
      <c r="C56" t="s">
        <v>38</v>
      </c>
      <c r="D56" t="s">
        <v>24</v>
      </c>
      <c r="E56" s="2">
        <v>46101</v>
      </c>
      <c r="F56" s="3">
        <v>25</v>
      </c>
      <c r="G56" s="3">
        <v>1</v>
      </c>
      <c r="H56" s="3">
        <v>802</v>
      </c>
      <c r="I56" t="s">
        <v>13</v>
      </c>
    </row>
    <row r="57" spans="1:9" x14ac:dyDescent="0.3">
      <c r="A57" t="s">
        <v>132</v>
      </c>
      <c r="B57" t="s">
        <v>125</v>
      </c>
      <c r="C57" t="s">
        <v>95</v>
      </c>
      <c r="D57" t="s">
        <v>46</v>
      </c>
      <c r="E57" s="2">
        <v>46106</v>
      </c>
      <c r="F57" s="3">
        <v>31</v>
      </c>
      <c r="G57" s="3">
        <v>3</v>
      </c>
      <c r="H57" s="3">
        <v>1132</v>
      </c>
      <c r="I57" t="s">
        <v>13</v>
      </c>
    </row>
    <row r="58" spans="1:9" x14ac:dyDescent="0.3">
      <c r="A58" t="s">
        <v>133</v>
      </c>
      <c r="B58" t="s">
        <v>86</v>
      </c>
      <c r="C58" t="s">
        <v>56</v>
      </c>
      <c r="D58" t="s">
        <v>20</v>
      </c>
      <c r="E58" s="2">
        <v>46044</v>
      </c>
      <c r="F58" s="3">
        <v>31</v>
      </c>
      <c r="G58" s="3">
        <v>5</v>
      </c>
      <c r="H58" s="3">
        <v>866</v>
      </c>
      <c r="I58" t="s">
        <v>13</v>
      </c>
    </row>
    <row r="59" spans="1:9" x14ac:dyDescent="0.3">
      <c r="A59" t="s">
        <v>134</v>
      </c>
      <c r="B59" t="s">
        <v>93</v>
      </c>
      <c r="C59" t="s">
        <v>69</v>
      </c>
      <c r="D59" t="s">
        <v>24</v>
      </c>
      <c r="E59" s="2">
        <v>46048</v>
      </c>
      <c r="F59" s="3">
        <v>28</v>
      </c>
      <c r="G59" s="3">
        <v>2</v>
      </c>
      <c r="H59" s="3">
        <v>230</v>
      </c>
      <c r="I59" t="s">
        <v>13</v>
      </c>
    </row>
    <row r="60" spans="1:9" x14ac:dyDescent="0.3">
      <c r="A60" t="s">
        <v>135</v>
      </c>
      <c r="B60" t="s">
        <v>136</v>
      </c>
      <c r="C60" t="s">
        <v>31</v>
      </c>
      <c r="D60" t="s">
        <v>49</v>
      </c>
      <c r="E60" s="2">
        <v>46081</v>
      </c>
      <c r="F60" s="3">
        <v>21</v>
      </c>
      <c r="G60" s="3">
        <v>2</v>
      </c>
      <c r="H60" s="3">
        <v>966</v>
      </c>
      <c r="I60" t="s">
        <v>13</v>
      </c>
    </row>
    <row r="61" spans="1:9" x14ac:dyDescent="0.3">
      <c r="A61" t="s">
        <v>137</v>
      </c>
      <c r="B61" t="s">
        <v>76</v>
      </c>
      <c r="C61" t="s">
        <v>45</v>
      </c>
      <c r="D61" t="s">
        <v>49</v>
      </c>
      <c r="E61" s="2">
        <v>46036</v>
      </c>
      <c r="F61" s="3">
        <v>48</v>
      </c>
      <c r="G61" s="3">
        <v>4</v>
      </c>
      <c r="H61" s="3">
        <v>628</v>
      </c>
      <c r="I61" t="s">
        <v>13</v>
      </c>
    </row>
    <row r="62" spans="1:9" x14ac:dyDescent="0.3">
      <c r="A62" t="s">
        <v>138</v>
      </c>
      <c r="B62" t="s">
        <v>139</v>
      </c>
      <c r="C62" t="s">
        <v>109</v>
      </c>
      <c r="D62" t="s">
        <v>49</v>
      </c>
      <c r="E62" s="2">
        <v>46094</v>
      </c>
      <c r="F62" s="3">
        <v>38</v>
      </c>
      <c r="G62" s="3">
        <v>4</v>
      </c>
      <c r="H62" s="3">
        <v>453</v>
      </c>
      <c r="I62" t="s">
        <v>35</v>
      </c>
    </row>
    <row r="63" spans="1:9" x14ac:dyDescent="0.3">
      <c r="A63" t="s">
        <v>140</v>
      </c>
      <c r="B63" t="s">
        <v>51</v>
      </c>
      <c r="C63" t="s">
        <v>34</v>
      </c>
      <c r="D63" t="s">
        <v>46</v>
      </c>
      <c r="E63" s="2">
        <v>46063</v>
      </c>
      <c r="F63" s="3">
        <v>65</v>
      </c>
      <c r="G63" s="3">
        <v>4</v>
      </c>
      <c r="H63" s="3">
        <v>1434</v>
      </c>
      <c r="I63" t="s">
        <v>35</v>
      </c>
    </row>
    <row r="64" spans="1:9" x14ac:dyDescent="0.3">
      <c r="A64" t="s">
        <v>141</v>
      </c>
      <c r="B64" t="s">
        <v>142</v>
      </c>
      <c r="C64" t="s">
        <v>11</v>
      </c>
      <c r="D64" t="s">
        <v>46</v>
      </c>
      <c r="E64" s="2">
        <v>46080</v>
      </c>
      <c r="F64" s="3">
        <v>56</v>
      </c>
      <c r="G64" s="3">
        <v>4</v>
      </c>
      <c r="H64" s="3">
        <v>1101</v>
      </c>
      <c r="I64" t="s">
        <v>13</v>
      </c>
    </row>
    <row r="65" spans="1:9" x14ac:dyDescent="0.3">
      <c r="A65" t="s">
        <v>143</v>
      </c>
      <c r="B65" t="s">
        <v>76</v>
      </c>
      <c r="C65" t="s">
        <v>28</v>
      </c>
      <c r="D65" t="s">
        <v>46</v>
      </c>
      <c r="E65" s="2">
        <v>46085</v>
      </c>
      <c r="F65" s="3">
        <v>24</v>
      </c>
      <c r="G65" s="3">
        <v>2</v>
      </c>
      <c r="H65" s="3">
        <v>742</v>
      </c>
      <c r="I65" t="s">
        <v>13</v>
      </c>
    </row>
    <row r="66" spans="1:9" x14ac:dyDescent="0.3">
      <c r="A66" t="s">
        <v>144</v>
      </c>
      <c r="B66" t="s">
        <v>145</v>
      </c>
      <c r="C66" t="s">
        <v>97</v>
      </c>
      <c r="D66" t="s">
        <v>12</v>
      </c>
      <c r="E66" s="2">
        <v>46065</v>
      </c>
      <c r="F66" s="3">
        <v>30</v>
      </c>
      <c r="G66" s="3">
        <v>2</v>
      </c>
      <c r="H66" s="3">
        <v>488</v>
      </c>
      <c r="I66" t="s">
        <v>13</v>
      </c>
    </row>
    <row r="67" spans="1:9" x14ac:dyDescent="0.3">
      <c r="A67" t="s">
        <v>146</v>
      </c>
      <c r="B67" t="s">
        <v>111</v>
      </c>
      <c r="C67" t="s">
        <v>40</v>
      </c>
      <c r="D67" t="s">
        <v>49</v>
      </c>
      <c r="E67" s="2">
        <v>46076</v>
      </c>
      <c r="F67" s="3">
        <v>53</v>
      </c>
      <c r="G67" s="3">
        <v>4</v>
      </c>
      <c r="H67" s="3">
        <v>857</v>
      </c>
      <c r="I67" t="s">
        <v>13</v>
      </c>
    </row>
    <row r="68" spans="1:9" x14ac:dyDescent="0.3">
      <c r="A68" t="s">
        <v>147</v>
      </c>
      <c r="B68" t="s">
        <v>131</v>
      </c>
      <c r="C68" t="s">
        <v>23</v>
      </c>
      <c r="D68" t="s">
        <v>24</v>
      </c>
      <c r="E68" s="2">
        <v>46076</v>
      </c>
      <c r="F68" s="3">
        <v>19</v>
      </c>
      <c r="G68" s="3">
        <v>1</v>
      </c>
      <c r="H68" s="3">
        <v>1359</v>
      </c>
      <c r="I68" t="s">
        <v>13</v>
      </c>
    </row>
    <row r="69" spans="1:9" x14ac:dyDescent="0.3">
      <c r="A69" t="s">
        <v>148</v>
      </c>
      <c r="B69" t="s">
        <v>73</v>
      </c>
      <c r="C69" t="s">
        <v>16</v>
      </c>
      <c r="D69" t="s">
        <v>12</v>
      </c>
      <c r="E69" s="2">
        <v>46072</v>
      </c>
      <c r="F69" s="3">
        <v>53</v>
      </c>
      <c r="G69" s="3">
        <v>4</v>
      </c>
      <c r="H69" s="3">
        <v>1282</v>
      </c>
      <c r="I69" t="s">
        <v>13</v>
      </c>
    </row>
    <row r="70" spans="1:9" x14ac:dyDescent="0.3">
      <c r="A70" t="s">
        <v>149</v>
      </c>
      <c r="B70" t="s">
        <v>83</v>
      </c>
      <c r="C70" t="s">
        <v>31</v>
      </c>
      <c r="D70" t="s">
        <v>24</v>
      </c>
      <c r="E70" s="2">
        <v>46085</v>
      </c>
      <c r="F70" s="3">
        <v>40</v>
      </c>
      <c r="G70" s="3">
        <v>1</v>
      </c>
      <c r="H70" s="3">
        <v>976</v>
      </c>
      <c r="I70" t="s">
        <v>13</v>
      </c>
    </row>
    <row r="71" spans="1:9" x14ac:dyDescent="0.3">
      <c r="A71" t="s">
        <v>150</v>
      </c>
      <c r="B71" t="s">
        <v>151</v>
      </c>
      <c r="C71" t="s">
        <v>81</v>
      </c>
      <c r="D71" t="s">
        <v>20</v>
      </c>
      <c r="E71" s="2">
        <v>46039</v>
      </c>
      <c r="F71" s="3">
        <v>52</v>
      </c>
      <c r="G71" s="3">
        <v>5</v>
      </c>
      <c r="H71" s="3">
        <v>1273</v>
      </c>
      <c r="I71" t="s">
        <v>13</v>
      </c>
    </row>
    <row r="72" spans="1:9" x14ac:dyDescent="0.3">
      <c r="A72" t="s">
        <v>152</v>
      </c>
      <c r="B72" t="s">
        <v>153</v>
      </c>
      <c r="C72" t="s">
        <v>95</v>
      </c>
      <c r="D72" t="s">
        <v>46</v>
      </c>
      <c r="E72" s="2">
        <v>46107</v>
      </c>
      <c r="F72" s="3">
        <v>57</v>
      </c>
      <c r="G72" s="3">
        <v>2</v>
      </c>
      <c r="H72" s="3">
        <v>1125</v>
      </c>
      <c r="I72" t="s">
        <v>13</v>
      </c>
    </row>
    <row r="73" spans="1:9" x14ac:dyDescent="0.3">
      <c r="A73" t="s">
        <v>154</v>
      </c>
      <c r="B73" t="s">
        <v>55</v>
      </c>
      <c r="C73" t="s">
        <v>38</v>
      </c>
      <c r="D73" t="s">
        <v>12</v>
      </c>
      <c r="E73" s="2">
        <v>46050</v>
      </c>
      <c r="F73" s="3">
        <v>41</v>
      </c>
      <c r="G73" s="3">
        <v>4</v>
      </c>
      <c r="H73" s="3">
        <v>849</v>
      </c>
      <c r="I73" t="s">
        <v>13</v>
      </c>
    </row>
    <row r="74" spans="1:9" x14ac:dyDescent="0.3">
      <c r="A74" t="s">
        <v>155</v>
      </c>
      <c r="B74" t="s">
        <v>27</v>
      </c>
      <c r="C74" t="s">
        <v>28</v>
      </c>
      <c r="D74" t="s">
        <v>20</v>
      </c>
      <c r="E74" s="2">
        <v>46055</v>
      </c>
      <c r="F74" s="3">
        <v>46</v>
      </c>
      <c r="G74" s="3">
        <v>5</v>
      </c>
      <c r="H74" s="3">
        <v>286</v>
      </c>
      <c r="I74" t="s">
        <v>25</v>
      </c>
    </row>
    <row r="75" spans="1:9" x14ac:dyDescent="0.3">
      <c r="A75" t="s">
        <v>156</v>
      </c>
      <c r="B75" t="s">
        <v>157</v>
      </c>
      <c r="C75" t="s">
        <v>97</v>
      </c>
      <c r="D75" t="s">
        <v>49</v>
      </c>
      <c r="E75" s="2">
        <v>46106</v>
      </c>
      <c r="F75" s="3">
        <v>24</v>
      </c>
      <c r="G75" s="3">
        <v>1</v>
      </c>
      <c r="H75" s="3">
        <v>243</v>
      </c>
      <c r="I75" t="s">
        <v>25</v>
      </c>
    </row>
    <row r="76" spans="1:9" x14ac:dyDescent="0.3">
      <c r="A76" t="s">
        <v>158</v>
      </c>
      <c r="B76" t="s">
        <v>58</v>
      </c>
      <c r="C76" t="s">
        <v>84</v>
      </c>
      <c r="D76" t="s">
        <v>46</v>
      </c>
      <c r="E76" s="2">
        <v>46042</v>
      </c>
      <c r="F76" s="3">
        <v>39</v>
      </c>
      <c r="G76" s="3">
        <v>1</v>
      </c>
      <c r="H76" s="3">
        <v>1335</v>
      </c>
      <c r="I76" t="s">
        <v>25</v>
      </c>
    </row>
    <row r="77" spans="1:9" x14ac:dyDescent="0.3">
      <c r="A77" t="s">
        <v>159</v>
      </c>
      <c r="B77" t="s">
        <v>160</v>
      </c>
      <c r="C77" t="s">
        <v>28</v>
      </c>
      <c r="D77" t="s">
        <v>12</v>
      </c>
      <c r="E77" s="2">
        <v>46044</v>
      </c>
      <c r="F77" s="3">
        <v>53</v>
      </c>
      <c r="G77" s="3">
        <v>5</v>
      </c>
      <c r="H77" s="3">
        <v>1423</v>
      </c>
      <c r="I77" t="s">
        <v>25</v>
      </c>
    </row>
    <row r="78" spans="1:9" x14ac:dyDescent="0.3">
      <c r="A78" t="s">
        <v>161</v>
      </c>
      <c r="B78" t="s">
        <v>123</v>
      </c>
      <c r="C78" t="s">
        <v>81</v>
      </c>
      <c r="D78" t="s">
        <v>12</v>
      </c>
      <c r="E78" s="2">
        <v>46036</v>
      </c>
      <c r="F78" s="3">
        <v>10</v>
      </c>
      <c r="G78" s="3">
        <v>5</v>
      </c>
      <c r="H78" s="3">
        <v>948</v>
      </c>
      <c r="I78" t="s">
        <v>13</v>
      </c>
    </row>
    <row r="79" spans="1:9" x14ac:dyDescent="0.3">
      <c r="A79" t="s">
        <v>162</v>
      </c>
      <c r="B79" t="s">
        <v>58</v>
      </c>
      <c r="C79" t="s">
        <v>64</v>
      </c>
      <c r="D79" t="s">
        <v>46</v>
      </c>
      <c r="E79" s="2">
        <v>46111</v>
      </c>
      <c r="F79" s="3">
        <v>22</v>
      </c>
      <c r="G79" s="3">
        <v>2</v>
      </c>
      <c r="H79" s="3">
        <v>388</v>
      </c>
      <c r="I79" t="s">
        <v>13</v>
      </c>
    </row>
    <row r="80" spans="1:9" x14ac:dyDescent="0.3">
      <c r="A80" t="s">
        <v>163</v>
      </c>
      <c r="B80" t="s">
        <v>164</v>
      </c>
      <c r="C80" t="s">
        <v>31</v>
      </c>
      <c r="D80" t="s">
        <v>49</v>
      </c>
      <c r="E80" s="2">
        <v>46095</v>
      </c>
      <c r="F80" s="3">
        <v>40</v>
      </c>
      <c r="G80" s="3">
        <v>4</v>
      </c>
      <c r="H80" s="3">
        <v>938</v>
      </c>
      <c r="I80" t="s">
        <v>13</v>
      </c>
    </row>
    <row r="81" spans="1:9" x14ac:dyDescent="0.3">
      <c r="A81" t="s">
        <v>165</v>
      </c>
      <c r="B81" t="s">
        <v>53</v>
      </c>
      <c r="C81" t="s">
        <v>84</v>
      </c>
      <c r="D81" t="s">
        <v>20</v>
      </c>
      <c r="E81" s="2">
        <v>46085</v>
      </c>
      <c r="F81" s="3">
        <v>25</v>
      </c>
      <c r="G81" s="3">
        <v>1</v>
      </c>
      <c r="H81" s="3">
        <v>1067</v>
      </c>
      <c r="I81" t="s">
        <v>25</v>
      </c>
    </row>
    <row r="82" spans="1:9" x14ac:dyDescent="0.3">
      <c r="A82" t="s">
        <v>166</v>
      </c>
      <c r="B82" t="s">
        <v>167</v>
      </c>
      <c r="C82" t="s">
        <v>45</v>
      </c>
      <c r="D82" t="s">
        <v>20</v>
      </c>
      <c r="E82" s="2">
        <v>46045</v>
      </c>
      <c r="F82" s="3">
        <v>34</v>
      </c>
      <c r="G82" s="3">
        <v>3</v>
      </c>
      <c r="H82" s="3">
        <v>1441</v>
      </c>
      <c r="I82" t="s">
        <v>35</v>
      </c>
    </row>
    <row r="83" spans="1:9" x14ac:dyDescent="0.3">
      <c r="A83" t="s">
        <v>168</v>
      </c>
      <c r="B83" t="s">
        <v>18</v>
      </c>
      <c r="C83" t="s">
        <v>67</v>
      </c>
      <c r="D83" t="s">
        <v>20</v>
      </c>
      <c r="E83" s="2">
        <v>46078</v>
      </c>
      <c r="F83" s="3">
        <v>10</v>
      </c>
      <c r="G83" s="3">
        <v>5</v>
      </c>
      <c r="H83" s="3">
        <v>729</v>
      </c>
      <c r="I83" t="s">
        <v>13</v>
      </c>
    </row>
    <row r="84" spans="1:9" x14ac:dyDescent="0.3">
      <c r="A84" t="s">
        <v>169</v>
      </c>
      <c r="B84" t="s">
        <v>76</v>
      </c>
      <c r="C84" t="s">
        <v>64</v>
      </c>
      <c r="D84" t="s">
        <v>12</v>
      </c>
      <c r="E84" s="2">
        <v>46080</v>
      </c>
      <c r="F84" s="3">
        <v>38</v>
      </c>
      <c r="G84" s="3">
        <v>5</v>
      </c>
      <c r="H84" s="3">
        <v>956</v>
      </c>
      <c r="I84" t="s">
        <v>13</v>
      </c>
    </row>
    <row r="85" spans="1:9" x14ac:dyDescent="0.3">
      <c r="A85" t="s">
        <v>170</v>
      </c>
      <c r="B85" t="s">
        <v>171</v>
      </c>
      <c r="C85" t="s">
        <v>61</v>
      </c>
      <c r="D85" t="s">
        <v>24</v>
      </c>
      <c r="E85" s="2">
        <v>46085</v>
      </c>
      <c r="F85" s="3">
        <v>53</v>
      </c>
      <c r="G85" s="3">
        <v>2</v>
      </c>
      <c r="H85" s="3">
        <v>906</v>
      </c>
      <c r="I85" t="s">
        <v>35</v>
      </c>
    </row>
    <row r="86" spans="1:9" x14ac:dyDescent="0.3">
      <c r="A86" t="s">
        <v>172</v>
      </c>
      <c r="B86" t="s">
        <v>53</v>
      </c>
      <c r="C86" t="s">
        <v>28</v>
      </c>
      <c r="D86" t="s">
        <v>46</v>
      </c>
      <c r="E86" s="2">
        <v>46112</v>
      </c>
      <c r="F86" s="3">
        <v>51</v>
      </c>
      <c r="G86" s="3">
        <v>5</v>
      </c>
      <c r="H86" s="3">
        <v>571</v>
      </c>
      <c r="I86" t="s">
        <v>13</v>
      </c>
    </row>
    <row r="87" spans="1:9" x14ac:dyDescent="0.3">
      <c r="A87" t="s">
        <v>173</v>
      </c>
      <c r="B87" t="s">
        <v>129</v>
      </c>
      <c r="C87" t="s">
        <v>67</v>
      </c>
      <c r="D87" t="s">
        <v>46</v>
      </c>
      <c r="E87" s="2">
        <v>46053</v>
      </c>
      <c r="F87" s="3">
        <v>25</v>
      </c>
      <c r="G87" s="3">
        <v>4</v>
      </c>
      <c r="H87" s="3">
        <v>1185</v>
      </c>
      <c r="I87" t="s">
        <v>13</v>
      </c>
    </row>
    <row r="88" spans="1:9" x14ac:dyDescent="0.3">
      <c r="A88" t="s">
        <v>174</v>
      </c>
      <c r="B88" t="s">
        <v>175</v>
      </c>
      <c r="C88" t="s">
        <v>64</v>
      </c>
      <c r="D88" t="s">
        <v>12</v>
      </c>
      <c r="E88" s="2">
        <v>46051</v>
      </c>
      <c r="F88" s="3">
        <v>29</v>
      </c>
      <c r="G88" s="3">
        <v>5</v>
      </c>
      <c r="H88" s="3">
        <v>935</v>
      </c>
      <c r="I88" t="s">
        <v>13</v>
      </c>
    </row>
    <row r="89" spans="1:9" x14ac:dyDescent="0.3">
      <c r="A89" t="s">
        <v>176</v>
      </c>
      <c r="B89" t="s">
        <v>51</v>
      </c>
      <c r="C89" t="s">
        <v>16</v>
      </c>
      <c r="D89" t="s">
        <v>20</v>
      </c>
      <c r="E89" s="2">
        <v>46093</v>
      </c>
      <c r="F89" s="3">
        <v>43</v>
      </c>
      <c r="G89" s="3">
        <v>3</v>
      </c>
      <c r="H89" s="3">
        <v>900</v>
      </c>
      <c r="I89" t="s">
        <v>13</v>
      </c>
    </row>
    <row r="90" spans="1:9" x14ac:dyDescent="0.3">
      <c r="A90" t="s">
        <v>177</v>
      </c>
      <c r="B90" t="s">
        <v>33</v>
      </c>
      <c r="C90" t="s">
        <v>69</v>
      </c>
      <c r="D90" t="s">
        <v>12</v>
      </c>
      <c r="E90" s="2">
        <v>46052</v>
      </c>
      <c r="F90" s="3">
        <v>44</v>
      </c>
      <c r="G90" s="3">
        <v>1</v>
      </c>
      <c r="H90" s="3">
        <v>1277</v>
      </c>
      <c r="I90" t="s">
        <v>25</v>
      </c>
    </row>
    <row r="91" spans="1:9" x14ac:dyDescent="0.3">
      <c r="A91" t="s">
        <v>178</v>
      </c>
      <c r="B91" t="s">
        <v>179</v>
      </c>
      <c r="C91" t="s">
        <v>40</v>
      </c>
      <c r="D91" t="s">
        <v>24</v>
      </c>
      <c r="E91" s="2">
        <v>46084</v>
      </c>
      <c r="F91" s="3">
        <v>44</v>
      </c>
      <c r="G91" s="3">
        <v>3</v>
      </c>
      <c r="H91" s="3">
        <v>1387</v>
      </c>
      <c r="I91" t="s">
        <v>25</v>
      </c>
    </row>
    <row r="92" spans="1:9" x14ac:dyDescent="0.3">
      <c r="A92" t="s">
        <v>180</v>
      </c>
      <c r="B92" t="s">
        <v>51</v>
      </c>
      <c r="C92" t="s">
        <v>31</v>
      </c>
      <c r="D92" t="s">
        <v>12</v>
      </c>
      <c r="E92" s="2">
        <v>46035</v>
      </c>
      <c r="F92" s="3">
        <v>43</v>
      </c>
      <c r="G92" s="3">
        <v>3</v>
      </c>
      <c r="H92" s="3">
        <v>547</v>
      </c>
      <c r="I92" t="s">
        <v>13</v>
      </c>
    </row>
    <row r="93" spans="1:9" x14ac:dyDescent="0.3">
      <c r="A93" t="s">
        <v>181</v>
      </c>
      <c r="B93" t="s">
        <v>18</v>
      </c>
      <c r="C93" t="s">
        <v>45</v>
      </c>
      <c r="D93" t="s">
        <v>12</v>
      </c>
      <c r="E93" s="2">
        <v>46028</v>
      </c>
      <c r="F93" s="3">
        <v>27</v>
      </c>
      <c r="G93" s="3">
        <v>1</v>
      </c>
      <c r="H93" s="3">
        <v>1313</v>
      </c>
      <c r="I93" t="s">
        <v>13</v>
      </c>
    </row>
    <row r="94" spans="1:9" x14ac:dyDescent="0.3">
      <c r="A94" t="s">
        <v>182</v>
      </c>
      <c r="B94" t="s">
        <v>66</v>
      </c>
      <c r="C94" t="s">
        <v>67</v>
      </c>
      <c r="D94" t="s">
        <v>49</v>
      </c>
      <c r="E94" s="2">
        <v>46024</v>
      </c>
      <c r="F94" s="3">
        <v>23</v>
      </c>
      <c r="G94" s="3">
        <v>4</v>
      </c>
      <c r="H94" s="3">
        <v>877</v>
      </c>
      <c r="I94" t="s">
        <v>13</v>
      </c>
    </row>
    <row r="95" spans="1:9" x14ac:dyDescent="0.3">
      <c r="A95" t="s">
        <v>183</v>
      </c>
      <c r="B95" t="s">
        <v>107</v>
      </c>
      <c r="C95" t="s">
        <v>28</v>
      </c>
      <c r="D95" t="s">
        <v>20</v>
      </c>
      <c r="E95" s="2">
        <v>46037</v>
      </c>
      <c r="F95" s="3">
        <v>30</v>
      </c>
      <c r="G95" s="3">
        <v>1</v>
      </c>
      <c r="H95" s="3">
        <v>1000</v>
      </c>
      <c r="I95" t="s">
        <v>13</v>
      </c>
    </row>
    <row r="96" spans="1:9" x14ac:dyDescent="0.3">
      <c r="A96" t="s">
        <v>184</v>
      </c>
      <c r="B96" t="s">
        <v>185</v>
      </c>
      <c r="C96" t="s">
        <v>23</v>
      </c>
      <c r="D96" t="s">
        <v>24</v>
      </c>
      <c r="E96" s="2">
        <v>46042</v>
      </c>
      <c r="F96" s="3">
        <v>50</v>
      </c>
      <c r="G96" s="3">
        <v>1</v>
      </c>
      <c r="H96" s="3">
        <v>688</v>
      </c>
      <c r="I96" t="s">
        <v>13</v>
      </c>
    </row>
    <row r="97" spans="1:9" x14ac:dyDescent="0.3">
      <c r="A97" t="s">
        <v>186</v>
      </c>
      <c r="B97" t="s">
        <v>131</v>
      </c>
      <c r="C97" t="s">
        <v>31</v>
      </c>
      <c r="D97" t="s">
        <v>46</v>
      </c>
      <c r="E97" s="2">
        <v>46102</v>
      </c>
      <c r="F97" s="3">
        <v>10</v>
      </c>
      <c r="G97" s="3">
        <v>2</v>
      </c>
      <c r="H97" s="3">
        <v>1250</v>
      </c>
      <c r="I97" t="s">
        <v>13</v>
      </c>
    </row>
    <row r="98" spans="1:9" x14ac:dyDescent="0.3">
      <c r="A98" t="s">
        <v>187</v>
      </c>
      <c r="B98" t="s">
        <v>101</v>
      </c>
      <c r="C98" t="s">
        <v>69</v>
      </c>
      <c r="D98" t="s">
        <v>46</v>
      </c>
      <c r="E98" s="2">
        <v>46077</v>
      </c>
      <c r="F98" s="3">
        <v>31</v>
      </c>
      <c r="G98" s="3">
        <v>5</v>
      </c>
      <c r="H98" s="3">
        <v>383</v>
      </c>
      <c r="I98" t="s">
        <v>25</v>
      </c>
    </row>
    <row r="99" spans="1:9" x14ac:dyDescent="0.3">
      <c r="A99" t="s">
        <v>188</v>
      </c>
      <c r="B99" t="s">
        <v>189</v>
      </c>
      <c r="C99" t="s">
        <v>40</v>
      </c>
      <c r="D99" t="s">
        <v>12</v>
      </c>
      <c r="E99" s="2">
        <v>46107</v>
      </c>
      <c r="F99" s="3">
        <v>56</v>
      </c>
      <c r="G99" s="3">
        <v>1</v>
      </c>
      <c r="H99" s="3">
        <v>501</v>
      </c>
      <c r="I99" t="s">
        <v>13</v>
      </c>
    </row>
    <row r="100" spans="1:9" x14ac:dyDescent="0.3">
      <c r="A100" t="s">
        <v>190</v>
      </c>
      <c r="B100" t="s">
        <v>103</v>
      </c>
      <c r="C100" t="s">
        <v>64</v>
      </c>
      <c r="D100" t="s">
        <v>24</v>
      </c>
      <c r="E100" s="2">
        <v>46023</v>
      </c>
      <c r="F100" s="3">
        <v>20</v>
      </c>
      <c r="G100" s="3">
        <v>4</v>
      </c>
      <c r="H100" s="3">
        <v>776</v>
      </c>
      <c r="I100" t="s">
        <v>13</v>
      </c>
    </row>
    <row r="101" spans="1:9" x14ac:dyDescent="0.3">
      <c r="A101" t="s">
        <v>191</v>
      </c>
      <c r="B101" t="s">
        <v>145</v>
      </c>
      <c r="C101" t="s">
        <v>69</v>
      </c>
      <c r="D101" t="s">
        <v>20</v>
      </c>
      <c r="E101" s="2">
        <v>46032</v>
      </c>
      <c r="F101" s="3">
        <v>49</v>
      </c>
      <c r="G101" s="3">
        <v>2</v>
      </c>
      <c r="H101" s="3">
        <v>721</v>
      </c>
      <c r="I101" t="s">
        <v>35</v>
      </c>
    </row>
    <row r="102" spans="1:9" x14ac:dyDescent="0.3">
      <c r="A102" t="s">
        <v>192</v>
      </c>
      <c r="B102" t="s">
        <v>193</v>
      </c>
      <c r="C102" t="s">
        <v>40</v>
      </c>
      <c r="D102" t="s">
        <v>20</v>
      </c>
      <c r="E102" s="2">
        <v>46037</v>
      </c>
      <c r="F102" s="3">
        <v>18</v>
      </c>
      <c r="G102" s="3">
        <v>3</v>
      </c>
      <c r="H102" s="3">
        <v>471</v>
      </c>
      <c r="I102" t="s">
        <v>13</v>
      </c>
    </row>
    <row r="103" spans="1:9" x14ac:dyDescent="0.3">
      <c r="A103" t="s">
        <v>194</v>
      </c>
      <c r="B103" t="s">
        <v>195</v>
      </c>
      <c r="C103" t="s">
        <v>69</v>
      </c>
      <c r="D103" t="s">
        <v>46</v>
      </c>
      <c r="E103" s="2">
        <v>46095</v>
      </c>
      <c r="F103" s="3">
        <v>32</v>
      </c>
      <c r="G103" s="3">
        <v>3</v>
      </c>
      <c r="H103" s="3">
        <v>1079</v>
      </c>
      <c r="I103" t="s">
        <v>13</v>
      </c>
    </row>
    <row r="104" spans="1:9" x14ac:dyDescent="0.3">
      <c r="A104" t="s">
        <v>196</v>
      </c>
      <c r="B104" t="s">
        <v>164</v>
      </c>
      <c r="C104" t="s">
        <v>38</v>
      </c>
      <c r="D104" t="s">
        <v>12</v>
      </c>
      <c r="E104" s="2">
        <v>46087</v>
      </c>
      <c r="F104" s="3">
        <v>23</v>
      </c>
      <c r="G104" s="3">
        <v>5</v>
      </c>
      <c r="H104" s="3">
        <v>261</v>
      </c>
      <c r="I104" t="s">
        <v>25</v>
      </c>
    </row>
    <row r="105" spans="1:9" x14ac:dyDescent="0.3">
      <c r="A105" t="s">
        <v>197</v>
      </c>
      <c r="B105" t="s">
        <v>198</v>
      </c>
      <c r="C105" t="s">
        <v>31</v>
      </c>
      <c r="D105" t="s">
        <v>12</v>
      </c>
      <c r="E105" s="2">
        <v>46026</v>
      </c>
      <c r="F105" s="3">
        <v>34</v>
      </c>
      <c r="G105" s="3">
        <v>1</v>
      </c>
      <c r="H105" s="3">
        <v>648</v>
      </c>
      <c r="I105" t="s">
        <v>25</v>
      </c>
    </row>
    <row r="106" spans="1:9" x14ac:dyDescent="0.3">
      <c r="A106" t="s">
        <v>199</v>
      </c>
      <c r="B106" t="s">
        <v>185</v>
      </c>
      <c r="C106" t="s">
        <v>95</v>
      </c>
      <c r="D106" t="s">
        <v>49</v>
      </c>
      <c r="E106" s="2">
        <v>46109</v>
      </c>
      <c r="F106" s="3">
        <v>45</v>
      </c>
      <c r="G106" s="3">
        <v>2</v>
      </c>
      <c r="H106" s="3">
        <v>1143</v>
      </c>
      <c r="I106" t="s">
        <v>13</v>
      </c>
    </row>
    <row r="107" spans="1:9" x14ac:dyDescent="0.3">
      <c r="A107" t="s">
        <v>200</v>
      </c>
      <c r="B107" t="s">
        <v>101</v>
      </c>
      <c r="C107" t="s">
        <v>28</v>
      </c>
      <c r="D107" t="s">
        <v>24</v>
      </c>
      <c r="E107" s="2">
        <v>46097</v>
      </c>
      <c r="F107" s="3">
        <v>21</v>
      </c>
      <c r="G107" s="3">
        <v>4</v>
      </c>
      <c r="H107" s="3">
        <v>1480</v>
      </c>
      <c r="I107" t="s">
        <v>35</v>
      </c>
    </row>
    <row r="108" spans="1:9" x14ac:dyDescent="0.3">
      <c r="A108" t="s">
        <v>201</v>
      </c>
      <c r="B108" t="s">
        <v>202</v>
      </c>
      <c r="C108" t="s">
        <v>67</v>
      </c>
      <c r="D108" t="s">
        <v>12</v>
      </c>
      <c r="E108" s="2">
        <v>46075</v>
      </c>
      <c r="F108" s="3">
        <v>27</v>
      </c>
      <c r="G108" s="3">
        <v>2</v>
      </c>
      <c r="H108" s="3">
        <v>855</v>
      </c>
      <c r="I108" t="s">
        <v>13</v>
      </c>
    </row>
    <row r="109" spans="1:9" x14ac:dyDescent="0.3">
      <c r="A109" t="s">
        <v>203</v>
      </c>
      <c r="B109" t="s">
        <v>171</v>
      </c>
      <c r="C109" t="s">
        <v>69</v>
      </c>
      <c r="D109" t="s">
        <v>20</v>
      </c>
      <c r="E109" s="2">
        <v>46093</v>
      </c>
      <c r="F109" s="3">
        <v>56</v>
      </c>
      <c r="G109" s="3">
        <v>1</v>
      </c>
      <c r="H109" s="3">
        <v>1111</v>
      </c>
      <c r="I109" t="s">
        <v>13</v>
      </c>
    </row>
    <row r="110" spans="1:9" x14ac:dyDescent="0.3">
      <c r="A110" t="s">
        <v>204</v>
      </c>
      <c r="B110" t="s">
        <v>205</v>
      </c>
      <c r="C110" t="s">
        <v>61</v>
      </c>
      <c r="D110" t="s">
        <v>49</v>
      </c>
      <c r="E110" s="2">
        <v>46074</v>
      </c>
      <c r="F110" s="3">
        <v>55</v>
      </c>
      <c r="G110" s="3">
        <v>1</v>
      </c>
      <c r="H110" s="3">
        <v>1291</v>
      </c>
      <c r="I110" t="s">
        <v>13</v>
      </c>
    </row>
    <row r="111" spans="1:9" x14ac:dyDescent="0.3">
      <c r="A111" t="s">
        <v>206</v>
      </c>
      <c r="B111" t="s">
        <v>107</v>
      </c>
      <c r="C111" t="s">
        <v>40</v>
      </c>
      <c r="D111" t="s">
        <v>46</v>
      </c>
      <c r="E111" s="2">
        <v>46069</v>
      </c>
      <c r="F111" s="3">
        <v>18</v>
      </c>
      <c r="G111" s="3">
        <v>5</v>
      </c>
      <c r="H111" s="3">
        <v>1200</v>
      </c>
      <c r="I111" t="s">
        <v>13</v>
      </c>
    </row>
    <row r="112" spans="1:9" x14ac:dyDescent="0.3">
      <c r="A112" t="s">
        <v>207</v>
      </c>
      <c r="B112" t="s">
        <v>107</v>
      </c>
      <c r="C112" t="s">
        <v>40</v>
      </c>
      <c r="D112" t="s">
        <v>12</v>
      </c>
      <c r="E112" s="2">
        <v>46093</v>
      </c>
      <c r="F112" s="3">
        <v>45</v>
      </c>
      <c r="G112" s="3">
        <v>4</v>
      </c>
      <c r="H112" s="3">
        <v>428</v>
      </c>
      <c r="I112" t="s">
        <v>13</v>
      </c>
    </row>
    <row r="113" spans="1:9" x14ac:dyDescent="0.3">
      <c r="A113" t="s">
        <v>208</v>
      </c>
      <c r="B113" t="s">
        <v>105</v>
      </c>
      <c r="C113" t="s">
        <v>97</v>
      </c>
      <c r="D113" t="s">
        <v>24</v>
      </c>
      <c r="E113" s="2">
        <v>46062</v>
      </c>
      <c r="F113" s="3">
        <v>46</v>
      </c>
      <c r="G113" s="3">
        <v>5</v>
      </c>
      <c r="H113" s="3">
        <v>208</v>
      </c>
      <c r="I113" t="s">
        <v>13</v>
      </c>
    </row>
    <row r="114" spans="1:9" x14ac:dyDescent="0.3">
      <c r="A114" t="s">
        <v>209</v>
      </c>
      <c r="B114" t="s">
        <v>202</v>
      </c>
      <c r="C114" t="s">
        <v>97</v>
      </c>
      <c r="D114" t="s">
        <v>49</v>
      </c>
      <c r="E114" s="2">
        <v>46082</v>
      </c>
      <c r="F114" s="3">
        <v>57</v>
      </c>
      <c r="G114" s="3">
        <v>2</v>
      </c>
      <c r="H114" s="3">
        <v>1200</v>
      </c>
      <c r="I114" t="s">
        <v>25</v>
      </c>
    </row>
    <row r="115" spans="1:9" x14ac:dyDescent="0.3">
      <c r="A115" t="s">
        <v>210</v>
      </c>
      <c r="B115" t="s">
        <v>211</v>
      </c>
      <c r="C115" t="s">
        <v>56</v>
      </c>
      <c r="D115" t="s">
        <v>12</v>
      </c>
      <c r="E115" s="2">
        <v>46076</v>
      </c>
      <c r="F115" s="3">
        <v>31</v>
      </c>
      <c r="G115" s="3">
        <v>4</v>
      </c>
      <c r="H115" s="3">
        <v>1147</v>
      </c>
      <c r="I115" t="s">
        <v>13</v>
      </c>
    </row>
    <row r="116" spans="1:9" x14ac:dyDescent="0.3">
      <c r="A116" t="s">
        <v>212</v>
      </c>
      <c r="B116" t="s">
        <v>103</v>
      </c>
      <c r="C116" t="s">
        <v>45</v>
      </c>
      <c r="D116" t="s">
        <v>20</v>
      </c>
      <c r="E116" s="2">
        <v>46047</v>
      </c>
      <c r="F116" s="3">
        <v>52</v>
      </c>
      <c r="G116" s="3">
        <v>2</v>
      </c>
      <c r="H116" s="3">
        <v>322</v>
      </c>
      <c r="I116" t="s">
        <v>13</v>
      </c>
    </row>
    <row r="117" spans="1:9" x14ac:dyDescent="0.3">
      <c r="A117" t="s">
        <v>213</v>
      </c>
      <c r="B117" t="s">
        <v>131</v>
      </c>
      <c r="C117" t="s">
        <v>61</v>
      </c>
      <c r="D117" t="s">
        <v>46</v>
      </c>
      <c r="E117" s="2">
        <v>46057</v>
      </c>
      <c r="F117" s="3">
        <v>30</v>
      </c>
      <c r="G117" s="3">
        <v>1</v>
      </c>
      <c r="H117" s="3">
        <v>759</v>
      </c>
      <c r="I117" t="s">
        <v>13</v>
      </c>
    </row>
    <row r="118" spans="1:9" x14ac:dyDescent="0.3">
      <c r="A118" t="s">
        <v>214</v>
      </c>
      <c r="B118" t="s">
        <v>193</v>
      </c>
      <c r="C118" t="s">
        <v>95</v>
      </c>
      <c r="D118" t="s">
        <v>20</v>
      </c>
      <c r="E118" s="2">
        <v>46042</v>
      </c>
      <c r="F118" s="3">
        <v>22</v>
      </c>
      <c r="G118" s="3">
        <v>3</v>
      </c>
      <c r="H118" s="3">
        <v>1310</v>
      </c>
      <c r="I118" t="s">
        <v>35</v>
      </c>
    </row>
    <row r="119" spans="1:9" x14ac:dyDescent="0.3">
      <c r="A119" t="s">
        <v>215</v>
      </c>
      <c r="B119" t="s">
        <v>27</v>
      </c>
      <c r="C119" t="s">
        <v>109</v>
      </c>
      <c r="D119" t="s">
        <v>12</v>
      </c>
      <c r="E119" s="2">
        <v>46047</v>
      </c>
      <c r="F119" s="3">
        <v>43</v>
      </c>
      <c r="G119" s="3">
        <v>2</v>
      </c>
      <c r="H119" s="3">
        <v>1351</v>
      </c>
      <c r="I119" t="s">
        <v>13</v>
      </c>
    </row>
    <row r="120" spans="1:9" x14ac:dyDescent="0.3">
      <c r="A120" t="s">
        <v>216</v>
      </c>
      <c r="B120" t="s">
        <v>129</v>
      </c>
      <c r="C120" t="s">
        <v>23</v>
      </c>
      <c r="D120" t="s">
        <v>12</v>
      </c>
      <c r="E120" s="2">
        <v>46083</v>
      </c>
      <c r="F120" s="3">
        <v>30</v>
      </c>
      <c r="G120" s="3">
        <v>4</v>
      </c>
      <c r="H120" s="3">
        <v>491</v>
      </c>
      <c r="I120" t="s">
        <v>13</v>
      </c>
    </row>
    <row r="121" spans="1:9" x14ac:dyDescent="0.3">
      <c r="A121" t="s">
        <v>217</v>
      </c>
      <c r="B121" t="s">
        <v>218</v>
      </c>
      <c r="C121" t="s">
        <v>45</v>
      </c>
      <c r="D121" t="s">
        <v>46</v>
      </c>
      <c r="E121" s="2">
        <v>46098</v>
      </c>
      <c r="F121" s="3">
        <v>13</v>
      </c>
      <c r="G121" s="3">
        <v>3</v>
      </c>
      <c r="H121" s="3">
        <v>385</v>
      </c>
      <c r="I121" t="s">
        <v>25</v>
      </c>
    </row>
  </sheetData>
  <conditionalFormatting sqref="F2:F121">
    <cfRule type="colorScale" priority="1">
      <colorScale>
        <cfvo type="num" val="30"/>
        <cfvo type="num" val="45"/>
        <cfvo type="num" val="60"/>
        <color rgb="FF63BE7B"/>
        <color rgb="FFFFEB84"/>
        <color rgb="FFF8696B"/>
      </colorScale>
    </cfRule>
  </conditionalFormatting>
  <conditionalFormatting sqref="H2:H121">
    <cfRule type="expression" priority="2">
      <formula>H2&gt;=_xludf.PERCENTILE.INC($H$1:$H$120,0.9)</formula>
    </cfRule>
  </conditionalFormatting>
  <dataValidations count="2">
    <dataValidation type="whole" showInputMessage="1" showErrorMessage="1" errorTitle="Invalid Rating" error="Rating must be a whole number between 1 and 5." promptTitle="Rating Input" prompt="Enter a whole-number rating from 1 to 5." sqref="G2:G121" xr:uid="{7A8A627E-D324-4B6A-AEC4-1565B18766A8}">
      <formula1>1</formula1>
      <formula2>5</formula2>
    </dataValidation>
    <dataValidation type="list" sqref="D2:D121" xr:uid="{D4F5783D-22B3-4613-B3B1-5A597E2E365B}">
      <formula1>"Indian,Chinese,Italian,Mexican,Fast Food"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A9295-7820-45F2-8CF1-274A11CC9B71}">
  <dimension ref="A1:I27"/>
  <sheetViews>
    <sheetView workbookViewId="0">
      <selection activeCell="E14" sqref="E14"/>
    </sheetView>
  </sheetViews>
  <sheetFormatPr defaultRowHeight="14.4" x14ac:dyDescent="0.3"/>
  <cols>
    <col min="2" max="2" width="15.33203125" customWidth="1"/>
    <col min="3" max="3" width="12.77734375" customWidth="1"/>
    <col min="5" max="5" width="10.33203125" style="5" bestFit="1" customWidth="1"/>
    <col min="6" max="6" width="12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17</v>
      </c>
      <c r="B2" t="s">
        <v>18</v>
      </c>
      <c r="C2" t="s">
        <v>19</v>
      </c>
      <c r="D2" t="s">
        <v>20</v>
      </c>
      <c r="E2" s="5">
        <v>46033</v>
      </c>
      <c r="F2">
        <v>13</v>
      </c>
      <c r="G2" s="3">
        <v>5</v>
      </c>
      <c r="H2" s="3">
        <v>920</v>
      </c>
      <c r="I2" t="s">
        <v>13</v>
      </c>
    </row>
    <row r="3" spans="1:9" x14ac:dyDescent="0.3">
      <c r="A3" t="s">
        <v>41</v>
      </c>
      <c r="B3" t="s">
        <v>42</v>
      </c>
      <c r="C3" t="s">
        <v>34</v>
      </c>
      <c r="D3" t="s">
        <v>12</v>
      </c>
      <c r="E3" s="5">
        <v>46097</v>
      </c>
      <c r="F3">
        <v>24</v>
      </c>
      <c r="G3" s="3">
        <v>4</v>
      </c>
      <c r="H3" s="3">
        <v>1375</v>
      </c>
      <c r="I3" t="s">
        <v>13</v>
      </c>
    </row>
    <row r="4" spans="1:9" x14ac:dyDescent="0.3">
      <c r="A4" t="s">
        <v>70</v>
      </c>
      <c r="B4" t="s">
        <v>71</v>
      </c>
      <c r="C4" t="s">
        <v>19</v>
      </c>
      <c r="D4" t="s">
        <v>24</v>
      </c>
      <c r="E4" s="5">
        <v>46051</v>
      </c>
      <c r="F4">
        <v>40</v>
      </c>
      <c r="G4" s="3">
        <v>5</v>
      </c>
      <c r="H4" s="3">
        <v>651</v>
      </c>
      <c r="I4" t="s">
        <v>13</v>
      </c>
    </row>
    <row r="5" spans="1:9" x14ac:dyDescent="0.3">
      <c r="A5" t="s">
        <v>80</v>
      </c>
      <c r="B5" t="s">
        <v>48</v>
      </c>
      <c r="C5" t="s">
        <v>81</v>
      </c>
      <c r="D5" t="s">
        <v>12</v>
      </c>
      <c r="E5" s="5">
        <v>46082</v>
      </c>
      <c r="F5">
        <v>38</v>
      </c>
      <c r="G5" s="3">
        <v>4</v>
      </c>
      <c r="H5" s="3">
        <v>1307</v>
      </c>
      <c r="I5" t="s">
        <v>13</v>
      </c>
    </row>
    <row r="6" spans="1:9" x14ac:dyDescent="0.3">
      <c r="A6" t="s">
        <v>88</v>
      </c>
      <c r="B6" t="s">
        <v>89</v>
      </c>
      <c r="C6" t="s">
        <v>34</v>
      </c>
      <c r="D6" t="s">
        <v>49</v>
      </c>
      <c r="E6" s="5">
        <v>46063</v>
      </c>
      <c r="F6">
        <v>55</v>
      </c>
      <c r="G6" s="3">
        <v>5</v>
      </c>
      <c r="H6" s="3">
        <v>1267</v>
      </c>
      <c r="I6" t="s">
        <v>13</v>
      </c>
    </row>
    <row r="7" spans="1:9" x14ac:dyDescent="0.3">
      <c r="A7" t="s">
        <v>117</v>
      </c>
      <c r="B7" t="s">
        <v>118</v>
      </c>
      <c r="C7" t="s">
        <v>38</v>
      </c>
      <c r="D7" t="s">
        <v>49</v>
      </c>
      <c r="E7" s="5">
        <v>46083</v>
      </c>
      <c r="F7">
        <v>42</v>
      </c>
      <c r="G7" s="3">
        <v>4</v>
      </c>
      <c r="H7" s="3">
        <v>896</v>
      </c>
      <c r="I7" t="s">
        <v>13</v>
      </c>
    </row>
    <row r="8" spans="1:9" x14ac:dyDescent="0.3">
      <c r="A8" t="s">
        <v>124</v>
      </c>
      <c r="B8" t="s">
        <v>125</v>
      </c>
      <c r="C8" t="s">
        <v>16</v>
      </c>
      <c r="D8" t="s">
        <v>12</v>
      </c>
      <c r="E8" s="5">
        <v>46078</v>
      </c>
      <c r="F8">
        <v>24</v>
      </c>
      <c r="G8" s="3">
        <v>4</v>
      </c>
      <c r="H8" s="3">
        <v>1360</v>
      </c>
      <c r="I8" t="s">
        <v>13</v>
      </c>
    </row>
    <row r="9" spans="1:9" x14ac:dyDescent="0.3">
      <c r="A9" t="s">
        <v>126</v>
      </c>
      <c r="B9" t="s">
        <v>113</v>
      </c>
      <c r="C9" t="s">
        <v>11</v>
      </c>
      <c r="D9" t="s">
        <v>49</v>
      </c>
      <c r="E9" s="5">
        <v>46089</v>
      </c>
      <c r="F9">
        <v>27</v>
      </c>
      <c r="G9" s="3">
        <v>5</v>
      </c>
      <c r="H9" s="3">
        <v>583</v>
      </c>
      <c r="I9" t="s">
        <v>13</v>
      </c>
    </row>
    <row r="10" spans="1:9" x14ac:dyDescent="0.3">
      <c r="A10" t="s">
        <v>133</v>
      </c>
      <c r="B10" t="s">
        <v>86</v>
      </c>
      <c r="C10" t="s">
        <v>56</v>
      </c>
      <c r="D10" t="s">
        <v>20</v>
      </c>
      <c r="E10" s="5">
        <v>46044</v>
      </c>
      <c r="F10">
        <v>31</v>
      </c>
      <c r="G10" s="3">
        <v>5</v>
      </c>
      <c r="H10" s="3">
        <v>866</v>
      </c>
      <c r="I10" t="s">
        <v>13</v>
      </c>
    </row>
    <row r="11" spans="1:9" x14ac:dyDescent="0.3">
      <c r="A11" t="s">
        <v>137</v>
      </c>
      <c r="B11" t="s">
        <v>76</v>
      </c>
      <c r="C11" t="s">
        <v>45</v>
      </c>
      <c r="D11" t="s">
        <v>49</v>
      </c>
      <c r="E11" s="5">
        <v>46036</v>
      </c>
      <c r="F11">
        <v>48</v>
      </c>
      <c r="G11" s="3">
        <v>4</v>
      </c>
      <c r="H11" s="3">
        <v>628</v>
      </c>
      <c r="I11" t="s">
        <v>13</v>
      </c>
    </row>
    <row r="12" spans="1:9" x14ac:dyDescent="0.3">
      <c r="A12" t="s">
        <v>141</v>
      </c>
      <c r="B12" t="s">
        <v>142</v>
      </c>
      <c r="C12" t="s">
        <v>11</v>
      </c>
      <c r="D12" t="s">
        <v>46</v>
      </c>
      <c r="E12" s="5">
        <v>46080</v>
      </c>
      <c r="F12">
        <v>56</v>
      </c>
      <c r="G12" s="3">
        <v>4</v>
      </c>
      <c r="H12" s="3">
        <v>1101</v>
      </c>
      <c r="I12" t="s">
        <v>13</v>
      </c>
    </row>
    <row r="13" spans="1:9" x14ac:dyDescent="0.3">
      <c r="A13" t="s">
        <v>146</v>
      </c>
      <c r="B13" t="s">
        <v>111</v>
      </c>
      <c r="C13" t="s">
        <v>40</v>
      </c>
      <c r="D13" t="s">
        <v>49</v>
      </c>
      <c r="E13" s="5">
        <v>46076</v>
      </c>
      <c r="F13">
        <v>53</v>
      </c>
      <c r="G13" s="3">
        <v>4</v>
      </c>
      <c r="H13" s="3">
        <v>857</v>
      </c>
      <c r="I13" t="s">
        <v>13</v>
      </c>
    </row>
    <row r="14" spans="1:9" x14ac:dyDescent="0.3">
      <c r="A14" t="s">
        <v>148</v>
      </c>
      <c r="B14" t="s">
        <v>73</v>
      </c>
      <c r="C14" t="s">
        <v>16</v>
      </c>
      <c r="D14" t="s">
        <v>12</v>
      </c>
      <c r="E14" s="5">
        <v>46072</v>
      </c>
      <c r="F14">
        <v>53</v>
      </c>
      <c r="G14" s="3">
        <v>4</v>
      </c>
      <c r="H14" s="3">
        <v>1282</v>
      </c>
      <c r="I14" t="s">
        <v>13</v>
      </c>
    </row>
    <row r="15" spans="1:9" x14ac:dyDescent="0.3">
      <c r="A15" t="s">
        <v>150</v>
      </c>
      <c r="B15" t="s">
        <v>151</v>
      </c>
      <c r="C15" t="s">
        <v>81</v>
      </c>
      <c r="D15" t="s">
        <v>20</v>
      </c>
      <c r="E15" s="5">
        <v>46039</v>
      </c>
      <c r="F15">
        <v>52</v>
      </c>
      <c r="G15" s="3">
        <v>5</v>
      </c>
      <c r="H15" s="3">
        <v>1273</v>
      </c>
      <c r="I15" t="s">
        <v>13</v>
      </c>
    </row>
    <row r="16" spans="1:9" x14ac:dyDescent="0.3">
      <c r="A16" t="s">
        <v>154</v>
      </c>
      <c r="B16" t="s">
        <v>55</v>
      </c>
      <c r="C16" t="s">
        <v>38</v>
      </c>
      <c r="D16" t="s">
        <v>12</v>
      </c>
      <c r="E16" s="5">
        <v>46050</v>
      </c>
      <c r="F16">
        <v>41</v>
      </c>
      <c r="G16" s="3">
        <v>4</v>
      </c>
      <c r="H16" s="3">
        <v>849</v>
      </c>
      <c r="I16" t="s">
        <v>13</v>
      </c>
    </row>
    <row r="17" spans="1:9" x14ac:dyDescent="0.3">
      <c r="A17" t="s">
        <v>161</v>
      </c>
      <c r="B17" t="s">
        <v>123</v>
      </c>
      <c r="C17" t="s">
        <v>81</v>
      </c>
      <c r="D17" t="s">
        <v>12</v>
      </c>
      <c r="E17" s="5">
        <v>46036</v>
      </c>
      <c r="F17">
        <v>10</v>
      </c>
      <c r="G17" s="3">
        <v>5</v>
      </c>
      <c r="H17" s="3">
        <v>948</v>
      </c>
      <c r="I17" t="s">
        <v>13</v>
      </c>
    </row>
    <row r="18" spans="1:9" x14ac:dyDescent="0.3">
      <c r="A18" t="s">
        <v>163</v>
      </c>
      <c r="B18" t="s">
        <v>164</v>
      </c>
      <c r="C18" t="s">
        <v>31</v>
      </c>
      <c r="D18" t="s">
        <v>49</v>
      </c>
      <c r="E18" s="5">
        <v>46095</v>
      </c>
      <c r="F18">
        <v>40</v>
      </c>
      <c r="G18" s="3">
        <v>4</v>
      </c>
      <c r="H18" s="3">
        <v>938</v>
      </c>
      <c r="I18" t="s">
        <v>13</v>
      </c>
    </row>
    <row r="19" spans="1:9" x14ac:dyDescent="0.3">
      <c r="A19" t="s">
        <v>168</v>
      </c>
      <c r="B19" t="s">
        <v>18</v>
      </c>
      <c r="C19" t="s">
        <v>67</v>
      </c>
      <c r="D19" t="s">
        <v>20</v>
      </c>
      <c r="E19" s="5">
        <v>46078</v>
      </c>
      <c r="F19">
        <v>10</v>
      </c>
      <c r="G19" s="3">
        <v>5</v>
      </c>
      <c r="H19" s="3">
        <v>729</v>
      </c>
      <c r="I19" t="s">
        <v>13</v>
      </c>
    </row>
    <row r="20" spans="1:9" x14ac:dyDescent="0.3">
      <c r="A20" t="s">
        <v>169</v>
      </c>
      <c r="B20" t="s">
        <v>76</v>
      </c>
      <c r="C20" t="s">
        <v>64</v>
      </c>
      <c r="D20" t="s">
        <v>12</v>
      </c>
      <c r="E20" s="5">
        <v>46080</v>
      </c>
      <c r="F20">
        <v>38</v>
      </c>
      <c r="G20" s="3">
        <v>5</v>
      </c>
      <c r="H20" s="3">
        <v>956</v>
      </c>
      <c r="I20" t="s">
        <v>13</v>
      </c>
    </row>
    <row r="21" spans="1:9" x14ac:dyDescent="0.3">
      <c r="A21" t="s">
        <v>172</v>
      </c>
      <c r="B21" t="s">
        <v>53</v>
      </c>
      <c r="C21" t="s">
        <v>28</v>
      </c>
      <c r="D21" t="s">
        <v>46</v>
      </c>
      <c r="E21" s="5">
        <v>46112</v>
      </c>
      <c r="F21">
        <v>51</v>
      </c>
      <c r="G21" s="3">
        <v>5</v>
      </c>
      <c r="H21" s="3">
        <v>571</v>
      </c>
      <c r="I21" t="s">
        <v>13</v>
      </c>
    </row>
    <row r="22" spans="1:9" x14ac:dyDescent="0.3">
      <c r="A22" t="s">
        <v>173</v>
      </c>
      <c r="B22" t="s">
        <v>129</v>
      </c>
      <c r="C22" t="s">
        <v>67</v>
      </c>
      <c r="D22" t="s">
        <v>46</v>
      </c>
      <c r="E22" s="5">
        <v>46053</v>
      </c>
      <c r="F22">
        <v>25</v>
      </c>
      <c r="G22" s="3">
        <v>4</v>
      </c>
      <c r="H22" s="3">
        <v>1185</v>
      </c>
      <c r="I22" t="s">
        <v>13</v>
      </c>
    </row>
    <row r="23" spans="1:9" x14ac:dyDescent="0.3">
      <c r="A23" t="s">
        <v>174</v>
      </c>
      <c r="B23" t="s">
        <v>175</v>
      </c>
      <c r="C23" t="s">
        <v>64</v>
      </c>
      <c r="D23" t="s">
        <v>12</v>
      </c>
      <c r="E23" s="5">
        <v>46051</v>
      </c>
      <c r="F23">
        <v>29</v>
      </c>
      <c r="G23" s="3">
        <v>5</v>
      </c>
      <c r="H23" s="3">
        <v>935</v>
      </c>
      <c r="I23" t="s">
        <v>13</v>
      </c>
    </row>
    <row r="24" spans="1:9" x14ac:dyDescent="0.3">
      <c r="A24" t="s">
        <v>182</v>
      </c>
      <c r="B24" t="s">
        <v>66</v>
      </c>
      <c r="C24" t="s">
        <v>67</v>
      </c>
      <c r="D24" t="s">
        <v>49</v>
      </c>
      <c r="E24" s="5">
        <v>46024</v>
      </c>
      <c r="F24">
        <v>23</v>
      </c>
      <c r="G24" s="3">
        <v>4</v>
      </c>
      <c r="H24" s="3">
        <v>877</v>
      </c>
      <c r="I24" t="s">
        <v>13</v>
      </c>
    </row>
    <row r="25" spans="1:9" x14ac:dyDescent="0.3">
      <c r="A25" t="s">
        <v>190</v>
      </c>
      <c r="B25" t="s">
        <v>103</v>
      </c>
      <c r="C25" t="s">
        <v>64</v>
      </c>
      <c r="D25" t="s">
        <v>24</v>
      </c>
      <c r="E25" s="5">
        <v>46023</v>
      </c>
      <c r="F25">
        <v>20</v>
      </c>
      <c r="G25" s="3">
        <v>4</v>
      </c>
      <c r="H25" s="3">
        <v>776</v>
      </c>
      <c r="I25" t="s">
        <v>13</v>
      </c>
    </row>
    <row r="26" spans="1:9" x14ac:dyDescent="0.3">
      <c r="A26" t="s">
        <v>206</v>
      </c>
      <c r="B26" t="s">
        <v>107</v>
      </c>
      <c r="C26" t="s">
        <v>40</v>
      </c>
      <c r="D26" t="s">
        <v>46</v>
      </c>
      <c r="E26" s="5">
        <v>46069</v>
      </c>
      <c r="F26">
        <v>18</v>
      </c>
      <c r="G26" s="3">
        <v>5</v>
      </c>
      <c r="H26" s="3">
        <v>1200</v>
      </c>
      <c r="I26" t="s">
        <v>13</v>
      </c>
    </row>
    <row r="27" spans="1:9" x14ac:dyDescent="0.3">
      <c r="A27" t="s">
        <v>210</v>
      </c>
      <c r="B27" t="s">
        <v>211</v>
      </c>
      <c r="C27" t="s">
        <v>56</v>
      </c>
      <c r="D27" t="s">
        <v>12</v>
      </c>
      <c r="E27" s="5">
        <v>46076</v>
      </c>
      <c r="F27">
        <v>31</v>
      </c>
      <c r="G27" s="3">
        <v>4</v>
      </c>
      <c r="H27" s="3">
        <v>1147</v>
      </c>
      <c r="I2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A160-7BE6-4E3A-B768-267BA6AAC625}">
  <dimension ref="A1:Q121"/>
  <sheetViews>
    <sheetView topLeftCell="D1" workbookViewId="0">
      <selection activeCell="N1" sqref="N1:Q1"/>
    </sheetView>
  </sheetViews>
  <sheetFormatPr defaultRowHeight="14.4" x14ac:dyDescent="0.3"/>
  <cols>
    <col min="1" max="1" width="13.44140625" customWidth="1"/>
    <col min="2" max="2" width="20.5546875" customWidth="1"/>
    <col min="3" max="3" width="17.77734375" customWidth="1"/>
    <col min="4" max="4" width="12.6640625" customWidth="1"/>
    <col min="5" max="5" width="15.5546875" style="5" customWidth="1"/>
    <col min="6" max="6" width="18" style="3" customWidth="1"/>
    <col min="7" max="7" width="14" style="3" customWidth="1"/>
    <col min="8" max="8" width="13" customWidth="1"/>
    <col min="9" max="9" width="11.88671875" customWidth="1"/>
    <col min="10" max="10" width="28.6640625" customWidth="1"/>
    <col min="11" max="11" width="21.5546875" customWidth="1"/>
    <col min="15" max="15" width="18.6640625" customWidth="1"/>
    <col min="17" max="17" width="19.88671875" customWidth="1"/>
  </cols>
  <sheetData>
    <row r="1" spans="1:17" x14ac:dyDescent="0.3">
      <c r="A1" s="6" t="s">
        <v>0</v>
      </c>
      <c r="B1" s="6" t="s">
        <v>1</v>
      </c>
      <c r="C1" s="6" t="s">
        <v>2</v>
      </c>
      <c r="D1" s="6" t="s">
        <v>3</v>
      </c>
      <c r="E1" s="8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219</v>
      </c>
      <c r="K1" s="6" t="s">
        <v>220</v>
      </c>
      <c r="N1" s="18" t="s">
        <v>254</v>
      </c>
      <c r="O1" s="19"/>
      <c r="P1" s="19"/>
      <c r="Q1" s="19"/>
    </row>
    <row r="2" spans="1:17" x14ac:dyDescent="0.3">
      <c r="A2" s="7" t="s">
        <v>9</v>
      </c>
      <c r="B2" s="7" t="s">
        <v>10</v>
      </c>
      <c r="C2" s="7" t="s">
        <v>11</v>
      </c>
      <c r="D2" s="7" t="s">
        <v>12</v>
      </c>
      <c r="E2" s="9">
        <v>46058</v>
      </c>
      <c r="F2" s="10">
        <v>57</v>
      </c>
      <c r="G2" s="10">
        <v>3</v>
      </c>
      <c r="H2" s="7">
        <v>389</v>
      </c>
      <c r="I2" s="7" t="s">
        <v>13</v>
      </c>
      <c r="J2" s="7" t="e">
        <f>_xlfn.XLOOKUP(C2,[1]!tblRestaurants[RestaurantID],[1]!tblRestaurants[RestaurantName],"Not Listed")</f>
        <v>#REF!</v>
      </c>
      <c r="K2" s="7" t="e">
        <f>INDEX([1]!tblRestaurants[Zone],MATCH(C2,[1]!tblRestaurants[RestaurantID],0))</f>
        <v>#REF!</v>
      </c>
      <c r="N2" s="6" t="s">
        <v>223</v>
      </c>
      <c r="O2" s="6" t="s">
        <v>253</v>
      </c>
    </row>
    <row r="3" spans="1:17" x14ac:dyDescent="0.3">
      <c r="A3" s="7" t="s">
        <v>14</v>
      </c>
      <c r="B3" s="7" t="s">
        <v>15</v>
      </c>
      <c r="C3" s="7" t="s">
        <v>16</v>
      </c>
      <c r="D3" s="7" t="s">
        <v>12</v>
      </c>
      <c r="E3" s="9">
        <v>46100</v>
      </c>
      <c r="F3" s="10">
        <v>67</v>
      </c>
      <c r="G3" s="10">
        <v>3</v>
      </c>
      <c r="H3" s="7">
        <v>268</v>
      </c>
      <c r="I3" s="7" t="s">
        <v>13</v>
      </c>
      <c r="J3" s="7" t="e">
        <f>_xlfn.XLOOKUP(C3,[1]!tblRestaurants[RestaurantID],[1]!tblRestaurants[RestaurantName],"Not Listed")</f>
        <v>#REF!</v>
      </c>
      <c r="K3" s="7" t="e">
        <f>INDEX([1]!tblRestaurants[Zone],MATCH(C3,[1]!tblRestaurants[RestaurantID],0))</f>
        <v>#REF!</v>
      </c>
      <c r="N3" s="7" t="s">
        <v>226</v>
      </c>
      <c r="O3" s="13" t="e">
        <f>AVERAGEIF($K$4:$K$123,N3,$H$4:$H$123)</f>
        <v>#DIV/0!</v>
      </c>
    </row>
    <row r="4" spans="1:17" x14ac:dyDescent="0.3">
      <c r="A4" s="7" t="s">
        <v>17</v>
      </c>
      <c r="B4" s="7" t="s">
        <v>18</v>
      </c>
      <c r="C4" s="7" t="s">
        <v>19</v>
      </c>
      <c r="D4" s="7" t="s">
        <v>20</v>
      </c>
      <c r="E4" s="9">
        <v>46033</v>
      </c>
      <c r="F4" s="10">
        <v>13</v>
      </c>
      <c r="G4" s="10">
        <v>4</v>
      </c>
      <c r="H4" s="7">
        <v>920</v>
      </c>
      <c r="I4" s="7" t="s">
        <v>13</v>
      </c>
      <c r="J4" s="7" t="e">
        <f>_xlfn.XLOOKUP(C4,[1]!tblRestaurants[RestaurantID],[1]!tblRestaurants[RestaurantName],"Not Listed")</f>
        <v>#REF!</v>
      </c>
      <c r="K4" s="7" t="e">
        <f>INDEX([1]!tblRestaurants[Zone],MATCH(C4,[1]!tblRestaurants[RestaurantID],0))</f>
        <v>#REF!</v>
      </c>
      <c r="N4" s="7" t="s">
        <v>229</v>
      </c>
      <c r="O4" s="13" t="e">
        <f>AVERAGEIF($K$4:$K$123,N4,$H$4:$H$123)</f>
        <v>#DIV/0!</v>
      </c>
    </row>
    <row r="5" spans="1:17" x14ac:dyDescent="0.3">
      <c r="A5" s="7" t="s">
        <v>21</v>
      </c>
      <c r="B5" s="7" t="s">
        <v>22</v>
      </c>
      <c r="C5" s="7" t="s">
        <v>23</v>
      </c>
      <c r="D5" s="7" t="s">
        <v>24</v>
      </c>
      <c r="E5" s="9">
        <v>46060</v>
      </c>
      <c r="F5" s="10">
        <v>29</v>
      </c>
      <c r="G5" s="10">
        <v>1</v>
      </c>
      <c r="H5" s="7">
        <v>656</v>
      </c>
      <c r="I5" s="7" t="s">
        <v>25</v>
      </c>
      <c r="J5" s="7" t="e">
        <f>_xlfn.XLOOKUP(C5,[1]!tblRestaurants[RestaurantID],[1]!tblRestaurants[RestaurantName],"Not Listed")</f>
        <v>#REF!</v>
      </c>
      <c r="K5" s="7" t="e">
        <f>INDEX([1]!tblRestaurants[Zone],MATCH(C5,[1]!tblRestaurants[RestaurantID],0))</f>
        <v>#REF!</v>
      </c>
      <c r="N5" s="7" t="s">
        <v>232</v>
      </c>
      <c r="O5" s="13" t="e">
        <f>AVERAGEIF($K$4:$K$123,N5,$H$4:$H$123)</f>
        <v>#DIV/0!</v>
      </c>
    </row>
    <row r="6" spans="1:17" x14ac:dyDescent="0.3">
      <c r="A6" s="7" t="s">
        <v>26</v>
      </c>
      <c r="B6" s="7" t="s">
        <v>27</v>
      </c>
      <c r="C6" s="7" t="s">
        <v>28</v>
      </c>
      <c r="D6" s="7" t="s">
        <v>20</v>
      </c>
      <c r="E6" s="9">
        <v>46104</v>
      </c>
      <c r="F6" s="10">
        <v>42</v>
      </c>
      <c r="G6" s="10">
        <v>3</v>
      </c>
      <c r="H6" s="7">
        <v>609</v>
      </c>
      <c r="I6" s="7" t="s">
        <v>13</v>
      </c>
      <c r="J6" s="7" t="e">
        <f>_xlfn.XLOOKUP(C6,[1]!tblRestaurants[RestaurantID],[1]!tblRestaurants[RestaurantName],"Not Listed")</f>
        <v>#REF!</v>
      </c>
      <c r="K6" s="7" t="e">
        <f>INDEX([1]!tblRestaurants[Zone],MATCH(C6,[1]!tblRestaurants[RestaurantID],0))</f>
        <v>#REF!</v>
      </c>
      <c r="N6" s="7" t="s">
        <v>235</v>
      </c>
      <c r="O6" s="13" t="e">
        <f>AVERAGEIF($K$4:$K$123,N6,$H$4:$H$123)</f>
        <v>#DIV/0!</v>
      </c>
    </row>
    <row r="7" spans="1:17" x14ac:dyDescent="0.3">
      <c r="A7" s="7" t="s">
        <v>29</v>
      </c>
      <c r="B7" s="7" t="s">
        <v>30</v>
      </c>
      <c r="C7" s="7" t="s">
        <v>31</v>
      </c>
      <c r="D7" s="7" t="s">
        <v>24</v>
      </c>
      <c r="E7" s="9">
        <v>46091</v>
      </c>
      <c r="F7" s="10">
        <v>30</v>
      </c>
      <c r="G7" s="10">
        <v>2</v>
      </c>
      <c r="H7" s="7">
        <v>514</v>
      </c>
      <c r="I7" s="7" t="s">
        <v>13</v>
      </c>
      <c r="J7" s="7" t="e">
        <f>_xlfn.XLOOKUP(C7,[1]!tblRestaurants[RestaurantID],[1]!tblRestaurants[RestaurantName],"Not Listed")</f>
        <v>#REF!</v>
      </c>
      <c r="K7" s="7" t="e">
        <f>INDEX([1]!tblRestaurants[Zone],MATCH(C7,[1]!tblRestaurants[RestaurantID],0))</f>
        <v>#REF!</v>
      </c>
      <c r="N7" s="7" t="s">
        <v>237</v>
      </c>
      <c r="O7" s="13" t="e">
        <f>AVERAGEIF($K$4:$K$123,N7,$H$4:$H$123)</f>
        <v>#DIV/0!</v>
      </c>
    </row>
    <row r="8" spans="1:17" x14ac:dyDescent="0.3">
      <c r="A8" s="7" t="s">
        <v>32</v>
      </c>
      <c r="B8" s="7" t="s">
        <v>33</v>
      </c>
      <c r="C8" s="7" t="s">
        <v>34</v>
      </c>
      <c r="D8" s="7" t="s">
        <v>24</v>
      </c>
      <c r="E8" s="9">
        <v>46110</v>
      </c>
      <c r="F8" s="10">
        <v>27</v>
      </c>
      <c r="G8" s="10">
        <v>1</v>
      </c>
      <c r="H8" s="7">
        <v>649</v>
      </c>
      <c r="I8" s="7" t="s">
        <v>35</v>
      </c>
      <c r="J8" s="7" t="e">
        <f>_xlfn.XLOOKUP(C8,[1]!tblRestaurants[RestaurantID],[1]!tblRestaurants[RestaurantName],"Not Listed")</f>
        <v>#REF!</v>
      </c>
      <c r="K8" s="7" t="e">
        <f>INDEX([1]!tblRestaurants[Zone],MATCH(C8,[1]!tblRestaurants[RestaurantID],0))</f>
        <v>#REF!</v>
      </c>
    </row>
    <row r="9" spans="1:17" x14ac:dyDescent="0.3">
      <c r="A9" s="7" t="s">
        <v>36</v>
      </c>
      <c r="B9" s="7" t="s">
        <v>37</v>
      </c>
      <c r="C9" s="7" t="s">
        <v>38</v>
      </c>
      <c r="D9" s="7" t="s">
        <v>12</v>
      </c>
      <c r="E9" s="9">
        <v>46031</v>
      </c>
      <c r="F9" s="10">
        <v>59</v>
      </c>
      <c r="G9" s="10">
        <v>2</v>
      </c>
      <c r="H9" s="7">
        <v>1341</v>
      </c>
      <c r="I9" s="7" t="s">
        <v>25</v>
      </c>
      <c r="J9" s="7" t="e">
        <f>_xlfn.XLOOKUP(C9,[1]!tblRestaurants[RestaurantID],[1]!tblRestaurants[RestaurantName],"Not Listed")</f>
        <v>#REF!</v>
      </c>
      <c r="K9" s="7" t="e">
        <f>INDEX([1]!tblRestaurants[Zone],MATCH(C9,[1]!tblRestaurants[RestaurantID],0))</f>
        <v>#REF!</v>
      </c>
    </row>
    <row r="10" spans="1:17" x14ac:dyDescent="0.3">
      <c r="A10" s="7" t="s">
        <v>39</v>
      </c>
      <c r="B10" s="7" t="s">
        <v>37</v>
      </c>
      <c r="C10" s="7" t="s">
        <v>40</v>
      </c>
      <c r="D10" s="7" t="s">
        <v>20</v>
      </c>
      <c r="E10" s="9">
        <v>46073</v>
      </c>
      <c r="F10" s="10">
        <v>53</v>
      </c>
      <c r="G10" s="10">
        <v>2</v>
      </c>
      <c r="H10" s="7">
        <v>722</v>
      </c>
      <c r="I10" s="7" t="s">
        <v>13</v>
      </c>
      <c r="J10" s="7" t="e">
        <f>_xlfn.XLOOKUP(C10,[1]!tblRestaurants[RestaurantID],[1]!tblRestaurants[RestaurantName],"Not Listed")</f>
        <v>#REF!</v>
      </c>
      <c r="K10" s="7" t="e">
        <f>INDEX([1]!tblRestaurants[Zone],MATCH(C10,[1]!tblRestaurants[RestaurantID],0))</f>
        <v>#REF!</v>
      </c>
    </row>
    <row r="11" spans="1:17" x14ac:dyDescent="0.3">
      <c r="A11" s="7" t="s">
        <v>41</v>
      </c>
      <c r="B11" s="7" t="s">
        <v>42</v>
      </c>
      <c r="C11" s="7" t="s">
        <v>34</v>
      </c>
      <c r="D11" s="7" t="s">
        <v>12</v>
      </c>
      <c r="E11" s="9">
        <v>46097</v>
      </c>
      <c r="F11" s="10">
        <v>24</v>
      </c>
      <c r="G11" s="10">
        <v>4</v>
      </c>
      <c r="H11" s="7">
        <v>1375</v>
      </c>
      <c r="I11" s="7" t="s">
        <v>13</v>
      </c>
      <c r="J11" s="7" t="e">
        <f>_xlfn.XLOOKUP(C11,[1]!tblRestaurants[RestaurantID],[1]!tblRestaurants[RestaurantName],"Not Listed")</f>
        <v>#REF!</v>
      </c>
      <c r="K11" s="7" t="e">
        <f>INDEX([1]!tblRestaurants[Zone],MATCH(C11,[1]!tblRestaurants[RestaurantID],0))</f>
        <v>#REF!</v>
      </c>
    </row>
    <row r="12" spans="1:17" x14ac:dyDescent="0.3">
      <c r="A12" s="7" t="s">
        <v>43</v>
      </c>
      <c r="B12" s="7" t="s">
        <v>44</v>
      </c>
      <c r="C12" s="7" t="s">
        <v>45</v>
      </c>
      <c r="D12" s="7" t="s">
        <v>46</v>
      </c>
      <c r="E12" s="9">
        <v>46086</v>
      </c>
      <c r="F12" s="10">
        <v>41</v>
      </c>
      <c r="G12" s="10">
        <v>1</v>
      </c>
      <c r="H12" s="7">
        <v>493</v>
      </c>
      <c r="I12" s="7" t="s">
        <v>13</v>
      </c>
      <c r="J12" s="7" t="e">
        <f>_xlfn.XLOOKUP(C12,[1]!tblRestaurants[RestaurantID],[1]!tblRestaurants[RestaurantName],"Not Listed")</f>
        <v>#REF!</v>
      </c>
      <c r="K12" s="7" t="e">
        <f>INDEX([1]!tblRestaurants[Zone],MATCH(C12,[1]!tblRestaurants[RestaurantID],0))</f>
        <v>#REF!</v>
      </c>
    </row>
    <row r="13" spans="1:17" x14ac:dyDescent="0.3">
      <c r="A13" s="7" t="s">
        <v>47</v>
      </c>
      <c r="B13" s="7" t="s">
        <v>48</v>
      </c>
      <c r="C13" s="7" t="s">
        <v>31</v>
      </c>
      <c r="D13" s="7" t="s">
        <v>49</v>
      </c>
      <c r="E13" s="9">
        <v>46072</v>
      </c>
      <c r="F13" s="10">
        <v>40</v>
      </c>
      <c r="G13" s="10">
        <v>4</v>
      </c>
      <c r="H13" s="7">
        <v>1400</v>
      </c>
      <c r="I13" s="7" t="s">
        <v>25</v>
      </c>
      <c r="J13" s="7" t="e">
        <f>_xlfn.XLOOKUP(C13,[1]!tblRestaurants[RestaurantID],[1]!tblRestaurants[RestaurantName],"Not Listed")</f>
        <v>#REF!</v>
      </c>
      <c r="K13" s="7" t="e">
        <f>INDEX([1]!tblRestaurants[Zone],MATCH(C13,[1]!tblRestaurants[RestaurantID],0))</f>
        <v>#REF!</v>
      </c>
    </row>
    <row r="14" spans="1:17" x14ac:dyDescent="0.3">
      <c r="A14" s="7" t="s">
        <v>50</v>
      </c>
      <c r="B14" s="7" t="s">
        <v>51</v>
      </c>
      <c r="C14" s="7" t="s">
        <v>28</v>
      </c>
      <c r="D14" s="7" t="s">
        <v>46</v>
      </c>
      <c r="E14" s="9">
        <v>46024</v>
      </c>
      <c r="F14" s="10">
        <v>35</v>
      </c>
      <c r="G14" s="10">
        <v>5</v>
      </c>
      <c r="H14" s="7">
        <v>726</v>
      </c>
      <c r="I14" s="7" t="s">
        <v>35</v>
      </c>
      <c r="J14" s="7" t="e">
        <f>_xlfn.XLOOKUP(C14,[1]!tblRestaurants[RestaurantID],[1]!tblRestaurants[RestaurantName],"Not Listed")</f>
        <v>#REF!</v>
      </c>
      <c r="K14" s="7" t="e">
        <f>INDEX([1]!tblRestaurants[Zone],MATCH(C14,[1]!tblRestaurants[RestaurantID],0))</f>
        <v>#REF!</v>
      </c>
    </row>
    <row r="15" spans="1:17" x14ac:dyDescent="0.3">
      <c r="A15" s="7" t="s">
        <v>52</v>
      </c>
      <c r="B15" s="7" t="s">
        <v>53</v>
      </c>
      <c r="C15" s="7" t="s">
        <v>19</v>
      </c>
      <c r="D15" s="7" t="s">
        <v>12</v>
      </c>
      <c r="E15" s="9">
        <v>46078</v>
      </c>
      <c r="F15" s="10">
        <v>31</v>
      </c>
      <c r="G15" s="10">
        <v>2</v>
      </c>
      <c r="H15" s="7">
        <v>1109</v>
      </c>
      <c r="I15" s="7" t="s">
        <v>13</v>
      </c>
      <c r="J15" s="7" t="e">
        <f>_xlfn.XLOOKUP(C15,[1]!tblRestaurants[RestaurantID],[1]!tblRestaurants[RestaurantName],"Not Listed")</f>
        <v>#REF!</v>
      </c>
      <c r="K15" s="7" t="e">
        <f>INDEX([1]!tblRestaurants[Zone],MATCH(C15,[1]!tblRestaurants[RestaurantID],0))</f>
        <v>#REF!</v>
      </c>
    </row>
    <row r="16" spans="1:17" x14ac:dyDescent="0.3">
      <c r="A16" s="7" t="s">
        <v>54</v>
      </c>
      <c r="B16" s="7" t="s">
        <v>55</v>
      </c>
      <c r="C16" s="7" t="s">
        <v>56</v>
      </c>
      <c r="D16" s="7" t="s">
        <v>24</v>
      </c>
      <c r="E16" s="9">
        <v>46087</v>
      </c>
      <c r="F16" s="10">
        <v>62</v>
      </c>
      <c r="G16" s="10">
        <v>3</v>
      </c>
      <c r="H16" s="7">
        <v>1488</v>
      </c>
      <c r="I16" s="7" t="s">
        <v>13</v>
      </c>
      <c r="J16" s="7" t="e">
        <f>_xlfn.XLOOKUP(C16,[1]!tblRestaurants[RestaurantID],[1]!tblRestaurants[RestaurantName],"Not Listed")</f>
        <v>#REF!</v>
      </c>
      <c r="K16" s="7" t="e">
        <f>INDEX([1]!tblRestaurants[Zone],MATCH(C16,[1]!tblRestaurants[RestaurantID],0))</f>
        <v>#REF!</v>
      </c>
    </row>
    <row r="17" spans="1:11" x14ac:dyDescent="0.3">
      <c r="A17" s="7" t="s">
        <v>57</v>
      </c>
      <c r="B17" s="7" t="s">
        <v>58</v>
      </c>
      <c r="C17" s="7" t="s">
        <v>45</v>
      </c>
      <c r="D17" s="7" t="s">
        <v>12</v>
      </c>
      <c r="E17" s="9">
        <v>46043</v>
      </c>
      <c r="F17" s="10">
        <v>23</v>
      </c>
      <c r="G17" s="10">
        <v>5</v>
      </c>
      <c r="H17" s="7">
        <v>1266</v>
      </c>
      <c r="I17" s="7" t="s">
        <v>25</v>
      </c>
      <c r="J17" s="7" t="e">
        <f>_xlfn.XLOOKUP(C17,[1]!tblRestaurants[RestaurantID],[1]!tblRestaurants[RestaurantName],"Not Listed")</f>
        <v>#REF!</v>
      </c>
      <c r="K17" s="7" t="e">
        <f>INDEX([1]!tblRestaurants[Zone],MATCH(C17,[1]!tblRestaurants[RestaurantID],0))</f>
        <v>#REF!</v>
      </c>
    </row>
    <row r="18" spans="1:11" x14ac:dyDescent="0.3">
      <c r="A18" s="7" t="s">
        <v>59</v>
      </c>
      <c r="B18" s="7" t="s">
        <v>60</v>
      </c>
      <c r="C18" s="7" t="s">
        <v>61</v>
      </c>
      <c r="D18" s="7" t="s">
        <v>20</v>
      </c>
      <c r="E18" s="9">
        <v>46025</v>
      </c>
      <c r="F18" s="10">
        <v>48</v>
      </c>
      <c r="G18" s="10">
        <v>3</v>
      </c>
      <c r="H18" s="7">
        <v>670</v>
      </c>
      <c r="I18" s="7" t="s">
        <v>13</v>
      </c>
      <c r="J18" s="7" t="e">
        <f>_xlfn.XLOOKUP(C18,[1]!tblRestaurants[RestaurantID],[1]!tblRestaurants[RestaurantName],"Not Listed")</f>
        <v>#REF!</v>
      </c>
      <c r="K18" s="7" t="e">
        <f>INDEX([1]!tblRestaurants[Zone],MATCH(C18,[1]!tblRestaurants[RestaurantID],0))</f>
        <v>#REF!</v>
      </c>
    </row>
    <row r="19" spans="1:11" x14ac:dyDescent="0.3">
      <c r="A19" s="7" t="s">
        <v>62</v>
      </c>
      <c r="B19" s="7" t="s">
        <v>63</v>
      </c>
      <c r="C19" s="7" t="s">
        <v>64</v>
      </c>
      <c r="D19" s="7" t="s">
        <v>49</v>
      </c>
      <c r="E19" s="9">
        <v>46085</v>
      </c>
      <c r="F19" s="10">
        <v>46</v>
      </c>
      <c r="G19" s="10">
        <v>1</v>
      </c>
      <c r="H19" s="7">
        <v>1270</v>
      </c>
      <c r="I19" s="7" t="s">
        <v>35</v>
      </c>
      <c r="J19" s="7" t="e">
        <f>_xlfn.XLOOKUP(C19,[1]!tblRestaurants[RestaurantID],[1]!tblRestaurants[RestaurantName],"Not Listed")</f>
        <v>#REF!</v>
      </c>
      <c r="K19" s="7" t="e">
        <f>INDEX([1]!tblRestaurants[Zone],MATCH(C19,[1]!tblRestaurants[RestaurantID],0))</f>
        <v>#REF!</v>
      </c>
    </row>
    <row r="20" spans="1:11" x14ac:dyDescent="0.3">
      <c r="A20" s="7" t="s">
        <v>65</v>
      </c>
      <c r="B20" s="7" t="s">
        <v>66</v>
      </c>
      <c r="C20" s="7" t="s">
        <v>67</v>
      </c>
      <c r="D20" s="7" t="s">
        <v>46</v>
      </c>
      <c r="E20" s="9">
        <v>46044</v>
      </c>
      <c r="F20" s="10">
        <v>35</v>
      </c>
      <c r="G20" s="10">
        <v>4</v>
      </c>
      <c r="H20" s="7">
        <v>613</v>
      </c>
      <c r="I20" s="7" t="s">
        <v>25</v>
      </c>
      <c r="J20" s="7" t="e">
        <f>_xlfn.XLOOKUP(C20,[1]!tblRestaurants[RestaurantID],[1]!tblRestaurants[RestaurantName],"Not Listed")</f>
        <v>#REF!</v>
      </c>
      <c r="K20" s="7" t="e">
        <f>INDEX([1]!tblRestaurants[Zone],MATCH(C20,[1]!tblRestaurants[RestaurantID],0))</f>
        <v>#REF!</v>
      </c>
    </row>
    <row r="21" spans="1:11" x14ac:dyDescent="0.3">
      <c r="A21" s="7" t="s">
        <v>68</v>
      </c>
      <c r="B21" s="7" t="s">
        <v>58</v>
      </c>
      <c r="C21" s="7" t="s">
        <v>69</v>
      </c>
      <c r="D21" s="7" t="s">
        <v>20</v>
      </c>
      <c r="E21" s="9">
        <v>46108</v>
      </c>
      <c r="F21" s="10">
        <v>66</v>
      </c>
      <c r="G21" s="10">
        <v>3</v>
      </c>
      <c r="H21" s="7">
        <v>1077</v>
      </c>
      <c r="I21" s="7" t="s">
        <v>25</v>
      </c>
      <c r="J21" s="7" t="e">
        <f>_xlfn.XLOOKUP(C21,[1]!tblRestaurants[RestaurantID],[1]!tblRestaurants[RestaurantName],"Not Listed")</f>
        <v>#REF!</v>
      </c>
      <c r="K21" s="7" t="e">
        <f>INDEX([1]!tblRestaurants[Zone],MATCH(C21,[1]!tblRestaurants[RestaurantID],0))</f>
        <v>#REF!</v>
      </c>
    </row>
    <row r="22" spans="1:11" x14ac:dyDescent="0.3">
      <c r="A22" s="7" t="s">
        <v>70</v>
      </c>
      <c r="B22" s="7" t="s">
        <v>71</v>
      </c>
      <c r="C22" s="7" t="s">
        <v>19</v>
      </c>
      <c r="D22" s="7" t="s">
        <v>24</v>
      </c>
      <c r="E22" s="9">
        <v>46051</v>
      </c>
      <c r="F22" s="10">
        <v>40</v>
      </c>
      <c r="G22" s="10">
        <v>5</v>
      </c>
      <c r="H22" s="7">
        <v>651</v>
      </c>
      <c r="I22" s="7" t="s">
        <v>13</v>
      </c>
      <c r="J22" s="7" t="e">
        <f>_xlfn.XLOOKUP(C22,[1]!tblRestaurants[RestaurantID],[1]!tblRestaurants[RestaurantName],"Not Listed")</f>
        <v>#REF!</v>
      </c>
      <c r="K22" s="7" t="e">
        <f>INDEX([1]!tblRestaurants[Zone],MATCH(C22,[1]!tblRestaurants[RestaurantID],0))</f>
        <v>#REF!</v>
      </c>
    </row>
    <row r="23" spans="1:11" x14ac:dyDescent="0.3">
      <c r="A23" s="7" t="s">
        <v>72</v>
      </c>
      <c r="B23" s="7" t="s">
        <v>73</v>
      </c>
      <c r="C23" s="7" t="s">
        <v>64</v>
      </c>
      <c r="D23" s="7" t="s">
        <v>49</v>
      </c>
      <c r="E23" s="9">
        <v>46052</v>
      </c>
      <c r="F23" s="10">
        <v>39</v>
      </c>
      <c r="G23" s="10">
        <v>1</v>
      </c>
      <c r="H23" s="7">
        <v>244</v>
      </c>
      <c r="I23" s="7" t="s">
        <v>25</v>
      </c>
      <c r="J23" s="7" t="e">
        <f>_xlfn.XLOOKUP(C23,[1]!tblRestaurants[RestaurantID],[1]!tblRestaurants[RestaurantName],"Not Listed")</f>
        <v>#REF!</v>
      </c>
      <c r="K23" s="7" t="e">
        <f>INDEX([1]!tblRestaurants[Zone],MATCH(C23,[1]!tblRestaurants[RestaurantID],0))</f>
        <v>#REF!</v>
      </c>
    </row>
    <row r="24" spans="1:11" x14ac:dyDescent="0.3">
      <c r="A24" s="7" t="s">
        <v>74</v>
      </c>
      <c r="B24" s="7" t="s">
        <v>30</v>
      </c>
      <c r="C24" s="7" t="s">
        <v>56</v>
      </c>
      <c r="D24" s="7" t="s">
        <v>24</v>
      </c>
      <c r="E24" s="9">
        <v>46058</v>
      </c>
      <c r="F24" s="10">
        <v>33</v>
      </c>
      <c r="G24" s="10">
        <v>2</v>
      </c>
      <c r="H24" s="7">
        <v>1349</v>
      </c>
      <c r="I24" s="7" t="s">
        <v>13</v>
      </c>
      <c r="J24" s="7" t="e">
        <f>_xlfn.XLOOKUP(C24,[1]!tblRestaurants[RestaurantID],[1]!tblRestaurants[RestaurantName],"Not Listed")</f>
        <v>#REF!</v>
      </c>
      <c r="K24" s="7" t="e">
        <f>INDEX([1]!tblRestaurants[Zone],MATCH(C24,[1]!tblRestaurants[RestaurantID],0))</f>
        <v>#REF!</v>
      </c>
    </row>
    <row r="25" spans="1:11" x14ac:dyDescent="0.3">
      <c r="A25" s="7" t="s">
        <v>75</v>
      </c>
      <c r="B25" s="7" t="s">
        <v>76</v>
      </c>
      <c r="C25" s="7" t="s">
        <v>67</v>
      </c>
      <c r="D25" s="7" t="s">
        <v>20</v>
      </c>
      <c r="E25" s="9">
        <v>46047</v>
      </c>
      <c r="F25" s="10">
        <v>29</v>
      </c>
      <c r="G25" s="10">
        <v>1</v>
      </c>
      <c r="H25" s="7">
        <v>378</v>
      </c>
      <c r="I25" s="7" t="s">
        <v>13</v>
      </c>
      <c r="J25" s="7" t="e">
        <f>_xlfn.XLOOKUP(C25,[1]!tblRestaurants[RestaurantID],[1]!tblRestaurants[RestaurantName],"Not Listed")</f>
        <v>#REF!</v>
      </c>
      <c r="K25" s="7" t="e">
        <f>INDEX([1]!tblRestaurants[Zone],MATCH(C25,[1]!tblRestaurants[RestaurantID],0))</f>
        <v>#REF!</v>
      </c>
    </row>
    <row r="26" spans="1:11" x14ac:dyDescent="0.3">
      <c r="A26" s="7" t="s">
        <v>77</v>
      </c>
      <c r="B26" s="7" t="s">
        <v>78</v>
      </c>
      <c r="C26" s="7" t="s">
        <v>11</v>
      </c>
      <c r="D26" s="7" t="s">
        <v>20</v>
      </c>
      <c r="E26" s="9">
        <v>46082</v>
      </c>
      <c r="F26" s="10">
        <v>41</v>
      </c>
      <c r="G26" s="10">
        <v>1</v>
      </c>
      <c r="H26" s="7">
        <v>304</v>
      </c>
      <c r="I26" s="7" t="s">
        <v>13</v>
      </c>
      <c r="J26" s="7" t="e">
        <f>_xlfn.XLOOKUP(C26,[1]!tblRestaurants[RestaurantID],[1]!tblRestaurants[RestaurantName],"Not Listed")</f>
        <v>#REF!</v>
      </c>
      <c r="K26" s="7" t="e">
        <f>INDEX([1]!tblRestaurants[Zone],MATCH(C26,[1]!tblRestaurants[RestaurantID],0))</f>
        <v>#REF!</v>
      </c>
    </row>
    <row r="27" spans="1:11" x14ac:dyDescent="0.3">
      <c r="A27" s="7" t="s">
        <v>79</v>
      </c>
      <c r="B27" s="7" t="s">
        <v>53</v>
      </c>
      <c r="C27" s="7" t="s">
        <v>19</v>
      </c>
      <c r="D27" s="7" t="s">
        <v>24</v>
      </c>
      <c r="E27" s="9">
        <v>46047</v>
      </c>
      <c r="F27" s="10">
        <v>34</v>
      </c>
      <c r="G27" s="10">
        <v>2</v>
      </c>
      <c r="H27" s="7">
        <v>1278</v>
      </c>
      <c r="I27" s="7" t="s">
        <v>13</v>
      </c>
      <c r="J27" s="7" t="e">
        <f>_xlfn.XLOOKUP(C27,[1]!tblRestaurants[RestaurantID],[1]!tblRestaurants[RestaurantName],"Not Listed")</f>
        <v>#REF!</v>
      </c>
      <c r="K27" s="7" t="e">
        <f>INDEX([1]!tblRestaurants[Zone],MATCH(C27,[1]!tblRestaurants[RestaurantID],0))</f>
        <v>#REF!</v>
      </c>
    </row>
    <row r="28" spans="1:11" x14ac:dyDescent="0.3">
      <c r="A28" s="7" t="s">
        <v>80</v>
      </c>
      <c r="B28" s="7" t="s">
        <v>48</v>
      </c>
      <c r="C28" s="7" t="s">
        <v>81</v>
      </c>
      <c r="D28" s="7" t="s">
        <v>12</v>
      </c>
      <c r="E28" s="9">
        <v>46082</v>
      </c>
      <c r="F28" s="10">
        <v>38</v>
      </c>
      <c r="G28" s="10">
        <v>4</v>
      </c>
      <c r="H28" s="7">
        <v>1307</v>
      </c>
      <c r="I28" s="7" t="s">
        <v>13</v>
      </c>
      <c r="J28" s="7" t="e">
        <f>_xlfn.XLOOKUP(C28,[1]!tblRestaurants[RestaurantID],[1]!tblRestaurants[RestaurantName],"Not Listed")</f>
        <v>#REF!</v>
      </c>
      <c r="K28" s="7" t="e">
        <f>INDEX([1]!tblRestaurants[Zone],MATCH(C28,[1]!tblRestaurants[RestaurantID],0))</f>
        <v>#REF!</v>
      </c>
    </row>
    <row r="29" spans="1:11" x14ac:dyDescent="0.3">
      <c r="A29" s="7" t="s">
        <v>82</v>
      </c>
      <c r="B29" s="7" t="s">
        <v>83</v>
      </c>
      <c r="C29" s="7" t="s">
        <v>84</v>
      </c>
      <c r="D29" s="7" t="s">
        <v>49</v>
      </c>
      <c r="E29" s="9">
        <v>46053</v>
      </c>
      <c r="F29" s="10">
        <v>69</v>
      </c>
      <c r="G29" s="10">
        <v>2</v>
      </c>
      <c r="H29" s="7">
        <v>1012</v>
      </c>
      <c r="I29" s="7" t="s">
        <v>13</v>
      </c>
      <c r="J29" s="7" t="e">
        <f>_xlfn.XLOOKUP(C29,[1]!tblRestaurants[RestaurantID],[1]!tblRestaurants[RestaurantName],"Not Listed")</f>
        <v>#REF!</v>
      </c>
      <c r="K29" s="7" t="e">
        <f>INDEX([1]!tblRestaurants[Zone],MATCH(C29,[1]!tblRestaurants[RestaurantID],0))</f>
        <v>#REF!</v>
      </c>
    </row>
    <row r="30" spans="1:11" x14ac:dyDescent="0.3">
      <c r="A30" s="7" t="s">
        <v>85</v>
      </c>
      <c r="B30" s="7" t="s">
        <v>86</v>
      </c>
      <c r="C30" s="7" t="s">
        <v>38</v>
      </c>
      <c r="D30" s="7" t="s">
        <v>49</v>
      </c>
      <c r="E30" s="9">
        <v>46044</v>
      </c>
      <c r="F30" s="10">
        <v>10</v>
      </c>
      <c r="G30" s="10">
        <v>3</v>
      </c>
      <c r="H30" s="7">
        <v>1111</v>
      </c>
      <c r="I30" s="7" t="s">
        <v>13</v>
      </c>
      <c r="J30" s="7" t="e">
        <f>_xlfn.XLOOKUP(C30,[1]!tblRestaurants[RestaurantID],[1]!tblRestaurants[RestaurantName],"Not Listed")</f>
        <v>#REF!</v>
      </c>
      <c r="K30" s="7" t="e">
        <f>INDEX([1]!tblRestaurants[Zone],MATCH(C30,[1]!tblRestaurants[RestaurantID],0))</f>
        <v>#REF!</v>
      </c>
    </row>
    <row r="31" spans="1:11" x14ac:dyDescent="0.3">
      <c r="A31" s="7" t="s">
        <v>87</v>
      </c>
      <c r="B31" s="7" t="s">
        <v>42</v>
      </c>
      <c r="C31" s="7" t="s">
        <v>67</v>
      </c>
      <c r="D31" s="7" t="s">
        <v>24</v>
      </c>
      <c r="E31" s="9">
        <v>46047</v>
      </c>
      <c r="F31" s="10">
        <v>66</v>
      </c>
      <c r="G31" s="10">
        <v>3</v>
      </c>
      <c r="H31" s="7">
        <v>625</v>
      </c>
      <c r="I31" s="7" t="s">
        <v>25</v>
      </c>
      <c r="J31" s="7" t="e">
        <f>_xlfn.XLOOKUP(C31,[1]!tblRestaurants[RestaurantID],[1]!tblRestaurants[RestaurantName],"Not Listed")</f>
        <v>#REF!</v>
      </c>
      <c r="K31" s="7" t="e">
        <f>INDEX([1]!tblRestaurants[Zone],MATCH(C31,[1]!tblRestaurants[RestaurantID],0))</f>
        <v>#REF!</v>
      </c>
    </row>
    <row r="32" spans="1:11" x14ac:dyDescent="0.3">
      <c r="A32" s="7" t="s">
        <v>88</v>
      </c>
      <c r="B32" s="7" t="s">
        <v>89</v>
      </c>
      <c r="C32" s="7" t="s">
        <v>34</v>
      </c>
      <c r="D32" s="7" t="s">
        <v>49</v>
      </c>
      <c r="E32" s="9">
        <v>46063</v>
      </c>
      <c r="F32" s="10">
        <v>55</v>
      </c>
      <c r="G32" s="10">
        <v>5</v>
      </c>
      <c r="H32" s="7">
        <v>1267</v>
      </c>
      <c r="I32" s="7" t="s">
        <v>13</v>
      </c>
      <c r="J32" s="7" t="e">
        <f>_xlfn.XLOOKUP(C32,[1]!tblRestaurants[RestaurantID],[1]!tblRestaurants[RestaurantName],"Not Listed")</f>
        <v>#REF!</v>
      </c>
      <c r="K32" s="7" t="e">
        <f>INDEX([1]!tblRestaurants[Zone],MATCH(C32,[1]!tblRestaurants[RestaurantID],0))</f>
        <v>#REF!</v>
      </c>
    </row>
    <row r="33" spans="1:11" x14ac:dyDescent="0.3">
      <c r="A33" s="7" t="s">
        <v>90</v>
      </c>
      <c r="B33" s="7" t="s">
        <v>91</v>
      </c>
      <c r="C33" s="7" t="s">
        <v>64</v>
      </c>
      <c r="D33" s="7" t="s">
        <v>24</v>
      </c>
      <c r="E33" s="9">
        <v>46031</v>
      </c>
      <c r="F33" s="10">
        <v>44</v>
      </c>
      <c r="G33" s="10">
        <v>5</v>
      </c>
      <c r="H33" s="7">
        <v>319</v>
      </c>
      <c r="I33" s="7" t="s">
        <v>13</v>
      </c>
      <c r="J33" s="7" t="e">
        <f>_xlfn.XLOOKUP(C33,[1]!tblRestaurants[RestaurantID],[1]!tblRestaurants[RestaurantName],"Not Listed")</f>
        <v>#REF!</v>
      </c>
      <c r="K33" s="7" t="e">
        <f>INDEX([1]!tblRestaurants[Zone],MATCH(C33,[1]!tblRestaurants[RestaurantID],0))</f>
        <v>#REF!</v>
      </c>
    </row>
    <row r="34" spans="1:11" x14ac:dyDescent="0.3">
      <c r="A34" s="7" t="s">
        <v>92</v>
      </c>
      <c r="B34" s="7" t="s">
        <v>93</v>
      </c>
      <c r="C34" s="7" t="s">
        <v>38</v>
      </c>
      <c r="D34" s="7" t="s">
        <v>49</v>
      </c>
      <c r="E34" s="9">
        <v>46095</v>
      </c>
      <c r="F34" s="10">
        <v>38</v>
      </c>
      <c r="G34" s="10">
        <v>5</v>
      </c>
      <c r="H34" s="7">
        <v>347</v>
      </c>
      <c r="I34" s="7" t="s">
        <v>13</v>
      </c>
      <c r="J34" s="7" t="e">
        <f>_xlfn.XLOOKUP(C34,[1]!tblRestaurants[RestaurantID],[1]!tblRestaurants[RestaurantName],"Not Listed")</f>
        <v>#REF!</v>
      </c>
      <c r="K34" s="7" t="e">
        <f>INDEX([1]!tblRestaurants[Zone],MATCH(C34,[1]!tblRestaurants[RestaurantID],0))</f>
        <v>#REF!</v>
      </c>
    </row>
    <row r="35" spans="1:11" x14ac:dyDescent="0.3">
      <c r="A35" s="7" t="s">
        <v>94</v>
      </c>
      <c r="B35" s="7" t="s">
        <v>89</v>
      </c>
      <c r="C35" s="7" t="s">
        <v>95</v>
      </c>
      <c r="D35" s="7" t="s">
        <v>46</v>
      </c>
      <c r="E35" s="9">
        <v>46063</v>
      </c>
      <c r="F35" s="10">
        <v>56</v>
      </c>
      <c r="G35" s="10">
        <v>3</v>
      </c>
      <c r="H35" s="7">
        <v>598</v>
      </c>
      <c r="I35" s="7" t="s">
        <v>13</v>
      </c>
      <c r="J35" s="7" t="e">
        <f>_xlfn.XLOOKUP(C35,[1]!tblRestaurants[RestaurantID],[1]!tblRestaurants[RestaurantName],"Not Listed")</f>
        <v>#REF!</v>
      </c>
      <c r="K35" s="7" t="e">
        <f>INDEX([1]!tblRestaurants[Zone],MATCH(C35,[1]!tblRestaurants[RestaurantID],0))</f>
        <v>#REF!</v>
      </c>
    </row>
    <row r="36" spans="1:11" x14ac:dyDescent="0.3">
      <c r="A36" s="7" t="s">
        <v>96</v>
      </c>
      <c r="B36" s="7" t="s">
        <v>37</v>
      </c>
      <c r="C36" s="7" t="s">
        <v>97</v>
      </c>
      <c r="D36" s="7" t="s">
        <v>12</v>
      </c>
      <c r="E36" s="9">
        <v>46073</v>
      </c>
      <c r="F36" s="10">
        <v>51</v>
      </c>
      <c r="G36" s="10">
        <v>4</v>
      </c>
      <c r="H36" s="7">
        <v>827</v>
      </c>
      <c r="I36" s="7" t="s">
        <v>25</v>
      </c>
      <c r="J36" s="7" t="e">
        <f>_xlfn.XLOOKUP(C36,[1]!tblRestaurants[RestaurantID],[1]!tblRestaurants[RestaurantName],"Not Listed")</f>
        <v>#REF!</v>
      </c>
      <c r="K36" s="7" t="e">
        <f>INDEX([1]!tblRestaurants[Zone],MATCH(C36,[1]!tblRestaurants[RestaurantID],0))</f>
        <v>#REF!</v>
      </c>
    </row>
    <row r="37" spans="1:11" x14ac:dyDescent="0.3">
      <c r="A37" s="7" t="s">
        <v>98</v>
      </c>
      <c r="B37" s="7" t="s">
        <v>30</v>
      </c>
      <c r="C37" s="7" t="s">
        <v>84</v>
      </c>
      <c r="D37" s="7" t="s">
        <v>20</v>
      </c>
      <c r="E37" s="9">
        <v>46102</v>
      </c>
      <c r="F37" s="10">
        <v>52</v>
      </c>
      <c r="G37" s="10">
        <v>5</v>
      </c>
      <c r="H37" s="7">
        <v>384</v>
      </c>
      <c r="I37" s="7" t="s">
        <v>13</v>
      </c>
      <c r="J37" s="7" t="e">
        <f>_xlfn.XLOOKUP(C37,[1]!tblRestaurants[RestaurantID],[1]!tblRestaurants[RestaurantName],"Not Listed")</f>
        <v>#REF!</v>
      </c>
      <c r="K37" s="7" t="e">
        <f>INDEX([1]!tblRestaurants[Zone],MATCH(C37,[1]!tblRestaurants[RestaurantID],0))</f>
        <v>#REF!</v>
      </c>
    </row>
    <row r="38" spans="1:11" x14ac:dyDescent="0.3">
      <c r="A38" s="7" t="s">
        <v>99</v>
      </c>
      <c r="B38" s="7" t="s">
        <v>86</v>
      </c>
      <c r="C38" s="7" t="s">
        <v>56</v>
      </c>
      <c r="D38" s="7" t="s">
        <v>12</v>
      </c>
      <c r="E38" s="9">
        <v>46039</v>
      </c>
      <c r="F38" s="10">
        <v>64</v>
      </c>
      <c r="G38" s="10">
        <v>2</v>
      </c>
      <c r="H38" s="7">
        <v>936</v>
      </c>
      <c r="I38" s="7" t="s">
        <v>13</v>
      </c>
      <c r="J38" s="7" t="e">
        <f>_xlfn.XLOOKUP(C38,[1]!tblRestaurants[RestaurantID],[1]!tblRestaurants[RestaurantName],"Not Listed")</f>
        <v>#REF!</v>
      </c>
      <c r="K38" s="7" t="e">
        <f>INDEX([1]!tblRestaurants[Zone],MATCH(C38,[1]!tblRestaurants[RestaurantID],0))</f>
        <v>#REF!</v>
      </c>
    </row>
    <row r="39" spans="1:11" x14ac:dyDescent="0.3">
      <c r="A39" s="7" t="s">
        <v>100</v>
      </c>
      <c r="B39" s="7" t="s">
        <v>101</v>
      </c>
      <c r="C39" s="7" t="s">
        <v>34</v>
      </c>
      <c r="D39" s="7" t="s">
        <v>12</v>
      </c>
      <c r="E39" s="9">
        <v>46101</v>
      </c>
      <c r="F39" s="10">
        <v>26</v>
      </c>
      <c r="G39" s="10">
        <v>5</v>
      </c>
      <c r="H39" s="7">
        <v>196</v>
      </c>
      <c r="I39" s="7" t="s">
        <v>13</v>
      </c>
      <c r="J39" s="7" t="e">
        <f>_xlfn.XLOOKUP(C39,[1]!tblRestaurants[RestaurantID],[1]!tblRestaurants[RestaurantName],"Not Listed")</f>
        <v>#REF!</v>
      </c>
      <c r="K39" s="7" t="e">
        <f>INDEX([1]!tblRestaurants[Zone],MATCH(C39,[1]!tblRestaurants[RestaurantID],0))</f>
        <v>#REF!</v>
      </c>
    </row>
    <row r="40" spans="1:11" x14ac:dyDescent="0.3">
      <c r="A40" s="7" t="s">
        <v>102</v>
      </c>
      <c r="B40" s="7" t="s">
        <v>103</v>
      </c>
      <c r="C40" s="7" t="s">
        <v>69</v>
      </c>
      <c r="D40" s="7" t="s">
        <v>49</v>
      </c>
      <c r="E40" s="9">
        <v>46040</v>
      </c>
      <c r="F40" s="10">
        <v>35</v>
      </c>
      <c r="G40" s="10">
        <v>5</v>
      </c>
      <c r="H40" s="7">
        <v>498</v>
      </c>
      <c r="I40" s="7" t="s">
        <v>13</v>
      </c>
      <c r="J40" s="7" t="e">
        <f>_xlfn.XLOOKUP(C40,[1]!tblRestaurants[RestaurantID],[1]!tblRestaurants[RestaurantName],"Not Listed")</f>
        <v>#REF!</v>
      </c>
      <c r="K40" s="7" t="e">
        <f>INDEX([1]!tblRestaurants[Zone],MATCH(C40,[1]!tblRestaurants[RestaurantID],0))</f>
        <v>#REF!</v>
      </c>
    </row>
    <row r="41" spans="1:11" x14ac:dyDescent="0.3">
      <c r="A41" s="7" t="s">
        <v>104</v>
      </c>
      <c r="B41" s="7" t="s">
        <v>105</v>
      </c>
      <c r="C41" s="7" t="s">
        <v>40</v>
      </c>
      <c r="D41" s="7" t="s">
        <v>12</v>
      </c>
      <c r="E41" s="9">
        <v>46049</v>
      </c>
      <c r="F41" s="10">
        <v>67</v>
      </c>
      <c r="G41" s="10">
        <v>3</v>
      </c>
      <c r="H41" s="7">
        <v>1215</v>
      </c>
      <c r="I41" s="7" t="s">
        <v>13</v>
      </c>
      <c r="J41" s="7" t="e">
        <f>_xlfn.XLOOKUP(C41,[1]!tblRestaurants[RestaurantID],[1]!tblRestaurants[RestaurantName],"Not Listed")</f>
        <v>#REF!</v>
      </c>
      <c r="K41" s="7" t="e">
        <f>INDEX([1]!tblRestaurants[Zone],MATCH(C41,[1]!tblRestaurants[RestaurantID],0))</f>
        <v>#REF!</v>
      </c>
    </row>
    <row r="42" spans="1:11" x14ac:dyDescent="0.3">
      <c r="A42" s="7" t="s">
        <v>106</v>
      </c>
      <c r="B42" s="7" t="s">
        <v>107</v>
      </c>
      <c r="C42" s="7" t="s">
        <v>64</v>
      </c>
      <c r="D42" s="7" t="s">
        <v>20</v>
      </c>
      <c r="E42" s="9">
        <v>46058</v>
      </c>
      <c r="F42" s="10">
        <v>50</v>
      </c>
      <c r="G42" s="10">
        <v>2</v>
      </c>
      <c r="H42" s="7">
        <v>1484</v>
      </c>
      <c r="I42" s="7" t="s">
        <v>25</v>
      </c>
      <c r="J42" s="7" t="e">
        <f>_xlfn.XLOOKUP(C42,[1]!tblRestaurants[RestaurantID],[1]!tblRestaurants[RestaurantName],"Not Listed")</f>
        <v>#REF!</v>
      </c>
      <c r="K42" s="7" t="e">
        <f>INDEX([1]!tblRestaurants[Zone],MATCH(C42,[1]!tblRestaurants[RestaurantID],0))</f>
        <v>#REF!</v>
      </c>
    </row>
    <row r="43" spans="1:11" x14ac:dyDescent="0.3">
      <c r="A43" s="7" t="s">
        <v>108</v>
      </c>
      <c r="B43" s="7" t="s">
        <v>10</v>
      </c>
      <c r="C43" s="7" t="s">
        <v>109</v>
      </c>
      <c r="D43" s="7" t="s">
        <v>46</v>
      </c>
      <c r="E43" s="9">
        <v>46077</v>
      </c>
      <c r="F43" s="10">
        <v>41</v>
      </c>
      <c r="G43" s="10">
        <v>5</v>
      </c>
      <c r="H43" s="7">
        <v>199</v>
      </c>
      <c r="I43" s="7" t="s">
        <v>13</v>
      </c>
      <c r="J43" s="7" t="e">
        <f>_xlfn.XLOOKUP(C43,[1]!tblRestaurants[RestaurantID],[1]!tblRestaurants[RestaurantName],"Not Listed")</f>
        <v>#REF!</v>
      </c>
      <c r="K43" s="7" t="e">
        <f>INDEX([1]!tblRestaurants[Zone],MATCH(C43,[1]!tblRestaurants[RestaurantID],0))</f>
        <v>#REF!</v>
      </c>
    </row>
    <row r="44" spans="1:11" x14ac:dyDescent="0.3">
      <c r="A44" s="7" t="s">
        <v>110</v>
      </c>
      <c r="B44" s="7" t="s">
        <v>111</v>
      </c>
      <c r="C44" s="7" t="s">
        <v>34</v>
      </c>
      <c r="D44" s="7" t="s">
        <v>49</v>
      </c>
      <c r="E44" s="9">
        <v>46070</v>
      </c>
      <c r="F44" s="10">
        <v>31</v>
      </c>
      <c r="G44" s="10">
        <v>2</v>
      </c>
      <c r="H44" s="7">
        <v>265</v>
      </c>
      <c r="I44" s="7" t="s">
        <v>13</v>
      </c>
      <c r="J44" s="7" t="e">
        <f>_xlfn.XLOOKUP(C44,[1]!tblRestaurants[RestaurantID],[1]!tblRestaurants[RestaurantName],"Not Listed")</f>
        <v>#REF!</v>
      </c>
      <c r="K44" s="7" t="e">
        <f>INDEX([1]!tblRestaurants[Zone],MATCH(C44,[1]!tblRestaurants[RestaurantID],0))</f>
        <v>#REF!</v>
      </c>
    </row>
    <row r="45" spans="1:11" x14ac:dyDescent="0.3">
      <c r="A45" s="7" t="s">
        <v>112</v>
      </c>
      <c r="B45" s="7" t="s">
        <v>113</v>
      </c>
      <c r="C45" s="7" t="s">
        <v>16</v>
      </c>
      <c r="D45" s="7" t="s">
        <v>24</v>
      </c>
      <c r="E45" s="9">
        <v>46110</v>
      </c>
      <c r="F45" s="10">
        <v>34</v>
      </c>
      <c r="G45" s="10">
        <v>2</v>
      </c>
      <c r="H45" s="7">
        <v>390</v>
      </c>
      <c r="I45" s="7" t="s">
        <v>13</v>
      </c>
      <c r="J45" s="7" t="e">
        <f>_xlfn.XLOOKUP(C45,[1]!tblRestaurants[RestaurantID],[1]!tblRestaurants[RestaurantName],"Not Listed")</f>
        <v>#REF!</v>
      </c>
      <c r="K45" s="7" t="e">
        <f>INDEX([1]!tblRestaurants[Zone],MATCH(C45,[1]!tblRestaurants[RestaurantID],0))</f>
        <v>#REF!</v>
      </c>
    </row>
    <row r="46" spans="1:11" x14ac:dyDescent="0.3">
      <c r="A46" s="7" t="s">
        <v>114</v>
      </c>
      <c r="B46" s="7" t="s">
        <v>42</v>
      </c>
      <c r="C46" s="7" t="s">
        <v>11</v>
      </c>
      <c r="D46" s="7" t="s">
        <v>46</v>
      </c>
      <c r="E46" s="9">
        <v>46042</v>
      </c>
      <c r="F46" s="10">
        <v>47</v>
      </c>
      <c r="G46" s="10">
        <v>2</v>
      </c>
      <c r="H46" s="7">
        <v>542</v>
      </c>
      <c r="I46" s="7" t="s">
        <v>25</v>
      </c>
      <c r="J46" s="7" t="e">
        <f>_xlfn.XLOOKUP(C46,[1]!tblRestaurants[RestaurantID],[1]!tblRestaurants[RestaurantName],"Not Listed")</f>
        <v>#REF!</v>
      </c>
      <c r="K46" s="7" t="e">
        <f>INDEX([1]!tblRestaurants[Zone],MATCH(C46,[1]!tblRestaurants[RestaurantID],0))</f>
        <v>#REF!</v>
      </c>
    </row>
    <row r="47" spans="1:11" x14ac:dyDescent="0.3">
      <c r="A47" s="7" t="s">
        <v>115</v>
      </c>
      <c r="B47" s="7" t="s">
        <v>116</v>
      </c>
      <c r="C47" s="7" t="s">
        <v>81</v>
      </c>
      <c r="D47" s="7" t="s">
        <v>12</v>
      </c>
      <c r="E47" s="9">
        <v>46075</v>
      </c>
      <c r="F47" s="10">
        <v>33</v>
      </c>
      <c r="G47" s="10">
        <v>2</v>
      </c>
      <c r="H47" s="7">
        <v>726</v>
      </c>
      <c r="I47" s="7" t="s">
        <v>13</v>
      </c>
      <c r="J47" s="7" t="e">
        <f>_xlfn.XLOOKUP(C47,[1]!tblRestaurants[RestaurantID],[1]!tblRestaurants[RestaurantName],"Not Listed")</f>
        <v>#REF!</v>
      </c>
      <c r="K47" s="7" t="e">
        <f>INDEX([1]!tblRestaurants[Zone],MATCH(C47,[1]!tblRestaurants[RestaurantID],0))</f>
        <v>#REF!</v>
      </c>
    </row>
    <row r="48" spans="1:11" x14ac:dyDescent="0.3">
      <c r="A48" s="7" t="s">
        <v>117</v>
      </c>
      <c r="B48" s="7" t="s">
        <v>118</v>
      </c>
      <c r="C48" s="7" t="s">
        <v>38</v>
      </c>
      <c r="D48" s="7" t="s">
        <v>49</v>
      </c>
      <c r="E48" s="9">
        <v>46083</v>
      </c>
      <c r="F48" s="10">
        <v>42</v>
      </c>
      <c r="G48" s="10">
        <v>4</v>
      </c>
      <c r="H48" s="7">
        <v>896</v>
      </c>
      <c r="I48" s="7" t="s">
        <v>13</v>
      </c>
      <c r="J48" s="7" t="e">
        <f>_xlfn.XLOOKUP(C48,[1]!tblRestaurants[RestaurantID],[1]!tblRestaurants[RestaurantName],"Not Listed")</f>
        <v>#REF!</v>
      </c>
      <c r="K48" s="7" t="e">
        <f>INDEX([1]!tblRestaurants[Zone],MATCH(C48,[1]!tblRestaurants[RestaurantID],0))</f>
        <v>#REF!</v>
      </c>
    </row>
    <row r="49" spans="1:11" x14ac:dyDescent="0.3">
      <c r="A49" s="7" t="s">
        <v>119</v>
      </c>
      <c r="B49" s="7" t="s">
        <v>120</v>
      </c>
      <c r="C49" s="7" t="s">
        <v>97</v>
      </c>
      <c r="D49" s="7" t="s">
        <v>49</v>
      </c>
      <c r="E49" s="9">
        <v>46107</v>
      </c>
      <c r="F49" s="10">
        <v>63</v>
      </c>
      <c r="G49" s="10">
        <v>2</v>
      </c>
      <c r="H49" s="7">
        <v>996</v>
      </c>
      <c r="I49" s="7" t="s">
        <v>13</v>
      </c>
      <c r="J49" s="7" t="e">
        <f>_xlfn.XLOOKUP(C49,[1]!tblRestaurants[RestaurantID],[1]!tblRestaurants[RestaurantName],"Not Listed")</f>
        <v>#REF!</v>
      </c>
      <c r="K49" s="7" t="e">
        <f>INDEX([1]!tblRestaurants[Zone],MATCH(C49,[1]!tblRestaurants[RestaurantID],0))</f>
        <v>#REF!</v>
      </c>
    </row>
    <row r="50" spans="1:11" x14ac:dyDescent="0.3">
      <c r="A50" s="7" t="s">
        <v>121</v>
      </c>
      <c r="B50" s="7" t="s">
        <v>22</v>
      </c>
      <c r="C50" s="7" t="s">
        <v>28</v>
      </c>
      <c r="D50" s="7" t="s">
        <v>12</v>
      </c>
      <c r="E50" s="9">
        <v>46105</v>
      </c>
      <c r="F50" s="10">
        <v>16</v>
      </c>
      <c r="G50" s="10">
        <v>5</v>
      </c>
      <c r="H50" s="7">
        <v>858</v>
      </c>
      <c r="I50" s="7" t="s">
        <v>25</v>
      </c>
      <c r="J50" s="7" t="e">
        <f>_xlfn.XLOOKUP(C50,[1]!tblRestaurants[RestaurantID],[1]!tblRestaurants[RestaurantName],"Not Listed")</f>
        <v>#REF!</v>
      </c>
      <c r="K50" s="7" t="e">
        <f>INDEX([1]!tblRestaurants[Zone],MATCH(C50,[1]!tblRestaurants[RestaurantID],0))</f>
        <v>#REF!</v>
      </c>
    </row>
    <row r="51" spans="1:11" x14ac:dyDescent="0.3">
      <c r="A51" s="7" t="s">
        <v>122</v>
      </c>
      <c r="B51" s="7" t="s">
        <v>123</v>
      </c>
      <c r="C51" s="7" t="s">
        <v>28</v>
      </c>
      <c r="D51" s="7" t="s">
        <v>24</v>
      </c>
      <c r="E51" s="9">
        <v>46097</v>
      </c>
      <c r="F51" s="10">
        <v>36</v>
      </c>
      <c r="G51" s="10">
        <v>3</v>
      </c>
      <c r="H51" s="7">
        <v>258</v>
      </c>
      <c r="I51" s="7" t="s">
        <v>13</v>
      </c>
      <c r="J51" s="7" t="e">
        <f>_xlfn.XLOOKUP(C51,[1]!tblRestaurants[RestaurantID],[1]!tblRestaurants[RestaurantName],"Not Listed")</f>
        <v>#REF!</v>
      </c>
      <c r="K51" s="7" t="e">
        <f>INDEX([1]!tblRestaurants[Zone],MATCH(C51,[1]!tblRestaurants[RestaurantID],0))</f>
        <v>#REF!</v>
      </c>
    </row>
    <row r="52" spans="1:11" x14ac:dyDescent="0.3">
      <c r="A52" s="7" t="s">
        <v>124</v>
      </c>
      <c r="B52" s="7" t="s">
        <v>125</v>
      </c>
      <c r="C52" s="7" t="s">
        <v>16</v>
      </c>
      <c r="D52" s="7" t="s">
        <v>12</v>
      </c>
      <c r="E52" s="9">
        <v>46078</v>
      </c>
      <c r="F52" s="10">
        <v>24</v>
      </c>
      <c r="G52" s="10">
        <v>4</v>
      </c>
      <c r="H52" s="7">
        <v>1360</v>
      </c>
      <c r="I52" s="7" t="s">
        <v>13</v>
      </c>
      <c r="J52" s="7" t="e">
        <f>_xlfn.XLOOKUP(C52,[1]!tblRestaurants[RestaurantID],[1]!tblRestaurants[RestaurantName],"Not Listed")</f>
        <v>#REF!</v>
      </c>
      <c r="K52" s="7" t="e">
        <f>INDEX([1]!tblRestaurants[Zone],MATCH(C52,[1]!tblRestaurants[RestaurantID],0))</f>
        <v>#REF!</v>
      </c>
    </row>
    <row r="53" spans="1:11" x14ac:dyDescent="0.3">
      <c r="A53" s="7" t="s">
        <v>126</v>
      </c>
      <c r="B53" s="7" t="s">
        <v>113</v>
      </c>
      <c r="C53" s="7" t="s">
        <v>11</v>
      </c>
      <c r="D53" s="7" t="s">
        <v>49</v>
      </c>
      <c r="E53" s="9">
        <v>46089</v>
      </c>
      <c r="F53" s="10">
        <v>27</v>
      </c>
      <c r="G53" s="10">
        <v>5</v>
      </c>
      <c r="H53" s="7">
        <v>583</v>
      </c>
      <c r="I53" s="7" t="s">
        <v>13</v>
      </c>
      <c r="J53" s="7" t="e">
        <f>_xlfn.XLOOKUP(C53,[1]!tblRestaurants[RestaurantID],[1]!tblRestaurants[RestaurantName],"Not Listed")</f>
        <v>#REF!</v>
      </c>
      <c r="K53" s="7" t="e">
        <f>INDEX([1]!tblRestaurants[Zone],MATCH(C53,[1]!tblRestaurants[RestaurantID],0))</f>
        <v>#REF!</v>
      </c>
    </row>
    <row r="54" spans="1:11" x14ac:dyDescent="0.3">
      <c r="A54" s="7" t="s">
        <v>127</v>
      </c>
      <c r="B54" s="7" t="s">
        <v>22</v>
      </c>
      <c r="C54" s="7" t="s">
        <v>61</v>
      </c>
      <c r="D54" s="7" t="s">
        <v>46</v>
      </c>
      <c r="E54" s="9">
        <v>46063</v>
      </c>
      <c r="F54" s="10">
        <v>34</v>
      </c>
      <c r="G54" s="10">
        <v>3</v>
      </c>
      <c r="H54" s="7">
        <v>1218</v>
      </c>
      <c r="I54" s="7" t="s">
        <v>13</v>
      </c>
      <c r="J54" s="7" t="e">
        <f>_xlfn.XLOOKUP(C54,[1]!tblRestaurants[RestaurantID],[1]!tblRestaurants[RestaurantName],"Not Listed")</f>
        <v>#REF!</v>
      </c>
      <c r="K54" s="7" t="e">
        <f>INDEX([1]!tblRestaurants[Zone],MATCH(C54,[1]!tblRestaurants[RestaurantID],0))</f>
        <v>#REF!</v>
      </c>
    </row>
    <row r="55" spans="1:11" x14ac:dyDescent="0.3">
      <c r="A55" s="7" t="s">
        <v>128</v>
      </c>
      <c r="B55" s="7" t="s">
        <v>129</v>
      </c>
      <c r="C55" s="7" t="s">
        <v>61</v>
      </c>
      <c r="D55" s="7" t="s">
        <v>20</v>
      </c>
      <c r="E55" s="9">
        <v>46112</v>
      </c>
      <c r="F55" s="10">
        <v>31</v>
      </c>
      <c r="G55" s="10">
        <v>3</v>
      </c>
      <c r="H55" s="7">
        <v>1315</v>
      </c>
      <c r="I55" s="7" t="s">
        <v>13</v>
      </c>
      <c r="J55" s="7" t="e">
        <f>_xlfn.XLOOKUP(C55,[1]!tblRestaurants[RestaurantID],[1]!tblRestaurants[RestaurantName],"Not Listed")</f>
        <v>#REF!</v>
      </c>
      <c r="K55" s="7" t="e">
        <f>INDEX([1]!tblRestaurants[Zone],MATCH(C55,[1]!tblRestaurants[RestaurantID],0))</f>
        <v>#REF!</v>
      </c>
    </row>
    <row r="56" spans="1:11" x14ac:dyDescent="0.3">
      <c r="A56" s="7" t="s">
        <v>130</v>
      </c>
      <c r="B56" s="7" t="s">
        <v>131</v>
      </c>
      <c r="C56" s="7" t="s">
        <v>38</v>
      </c>
      <c r="D56" s="7" t="s">
        <v>24</v>
      </c>
      <c r="E56" s="9">
        <v>46101</v>
      </c>
      <c r="F56" s="10">
        <v>25</v>
      </c>
      <c r="G56" s="10">
        <v>1</v>
      </c>
      <c r="H56" s="7">
        <v>802</v>
      </c>
      <c r="I56" s="7" t="s">
        <v>13</v>
      </c>
      <c r="J56" s="7" t="e">
        <f>_xlfn.XLOOKUP(C56,[1]!tblRestaurants[RestaurantID],[1]!tblRestaurants[RestaurantName],"Not Listed")</f>
        <v>#REF!</v>
      </c>
      <c r="K56" s="7" t="e">
        <f>INDEX([1]!tblRestaurants[Zone],MATCH(C56,[1]!tblRestaurants[RestaurantID],0))</f>
        <v>#REF!</v>
      </c>
    </row>
    <row r="57" spans="1:11" x14ac:dyDescent="0.3">
      <c r="A57" s="7" t="s">
        <v>132</v>
      </c>
      <c r="B57" s="7" t="s">
        <v>125</v>
      </c>
      <c r="C57" s="7" t="s">
        <v>95</v>
      </c>
      <c r="D57" s="7" t="s">
        <v>46</v>
      </c>
      <c r="E57" s="9">
        <v>46106</v>
      </c>
      <c r="F57" s="10">
        <v>31</v>
      </c>
      <c r="G57" s="10">
        <v>3</v>
      </c>
      <c r="H57" s="7">
        <v>1132</v>
      </c>
      <c r="I57" s="7" t="s">
        <v>13</v>
      </c>
      <c r="J57" s="7" t="e">
        <f>_xlfn.XLOOKUP(C57,[1]!tblRestaurants[RestaurantID],[1]!tblRestaurants[RestaurantName],"Not Listed")</f>
        <v>#REF!</v>
      </c>
      <c r="K57" s="7" t="e">
        <f>INDEX([1]!tblRestaurants[Zone],MATCH(C57,[1]!tblRestaurants[RestaurantID],0))</f>
        <v>#REF!</v>
      </c>
    </row>
    <row r="58" spans="1:11" x14ac:dyDescent="0.3">
      <c r="A58" s="7" t="s">
        <v>133</v>
      </c>
      <c r="B58" s="7" t="s">
        <v>86</v>
      </c>
      <c r="C58" s="7" t="s">
        <v>56</v>
      </c>
      <c r="D58" s="7" t="s">
        <v>20</v>
      </c>
      <c r="E58" s="9">
        <v>46044</v>
      </c>
      <c r="F58" s="10">
        <v>31</v>
      </c>
      <c r="G58" s="10">
        <v>5</v>
      </c>
      <c r="H58" s="7">
        <v>866</v>
      </c>
      <c r="I58" s="7" t="s">
        <v>13</v>
      </c>
      <c r="J58" s="7" t="e">
        <f>_xlfn.XLOOKUP(C58,[1]!tblRestaurants[RestaurantID],[1]!tblRestaurants[RestaurantName],"Not Listed")</f>
        <v>#REF!</v>
      </c>
      <c r="K58" s="7" t="e">
        <f>INDEX([1]!tblRestaurants[Zone],MATCH(C58,[1]!tblRestaurants[RestaurantID],0))</f>
        <v>#REF!</v>
      </c>
    </row>
    <row r="59" spans="1:11" x14ac:dyDescent="0.3">
      <c r="A59" s="7" t="s">
        <v>134</v>
      </c>
      <c r="B59" s="7" t="s">
        <v>93</v>
      </c>
      <c r="C59" s="7" t="s">
        <v>69</v>
      </c>
      <c r="D59" s="7" t="s">
        <v>24</v>
      </c>
      <c r="E59" s="9">
        <v>46048</v>
      </c>
      <c r="F59" s="10">
        <v>28</v>
      </c>
      <c r="G59" s="10">
        <v>2</v>
      </c>
      <c r="H59" s="7">
        <v>230</v>
      </c>
      <c r="I59" s="7" t="s">
        <v>13</v>
      </c>
      <c r="J59" s="7" t="e">
        <f>_xlfn.XLOOKUP(C59,[1]!tblRestaurants[RestaurantID],[1]!tblRestaurants[RestaurantName],"Not Listed")</f>
        <v>#REF!</v>
      </c>
      <c r="K59" s="7" t="e">
        <f>INDEX([1]!tblRestaurants[Zone],MATCH(C59,[1]!tblRestaurants[RestaurantID],0))</f>
        <v>#REF!</v>
      </c>
    </row>
    <row r="60" spans="1:11" x14ac:dyDescent="0.3">
      <c r="A60" s="7" t="s">
        <v>135</v>
      </c>
      <c r="B60" s="7" t="s">
        <v>136</v>
      </c>
      <c r="C60" s="7" t="s">
        <v>31</v>
      </c>
      <c r="D60" s="7" t="s">
        <v>49</v>
      </c>
      <c r="E60" s="9">
        <v>46081</v>
      </c>
      <c r="F60" s="10">
        <v>21</v>
      </c>
      <c r="G60" s="10">
        <v>2</v>
      </c>
      <c r="H60" s="7">
        <v>966</v>
      </c>
      <c r="I60" s="7" t="s">
        <v>13</v>
      </c>
      <c r="J60" s="7" t="e">
        <f>_xlfn.XLOOKUP(C60,[1]!tblRestaurants[RestaurantID],[1]!tblRestaurants[RestaurantName],"Not Listed")</f>
        <v>#REF!</v>
      </c>
      <c r="K60" s="7" t="e">
        <f>INDEX([1]!tblRestaurants[Zone],MATCH(C60,[1]!tblRestaurants[RestaurantID],0))</f>
        <v>#REF!</v>
      </c>
    </row>
    <row r="61" spans="1:11" x14ac:dyDescent="0.3">
      <c r="A61" s="7" t="s">
        <v>137</v>
      </c>
      <c r="B61" s="7" t="s">
        <v>76</v>
      </c>
      <c r="C61" s="7" t="s">
        <v>45</v>
      </c>
      <c r="D61" s="7" t="s">
        <v>49</v>
      </c>
      <c r="E61" s="9">
        <v>46036</v>
      </c>
      <c r="F61" s="10">
        <v>48</v>
      </c>
      <c r="G61" s="10">
        <v>4</v>
      </c>
      <c r="H61" s="7">
        <v>628</v>
      </c>
      <c r="I61" s="7" t="s">
        <v>13</v>
      </c>
      <c r="J61" s="7" t="e">
        <f>_xlfn.XLOOKUP(C61,[1]!tblRestaurants[RestaurantID],[1]!tblRestaurants[RestaurantName],"Not Listed")</f>
        <v>#REF!</v>
      </c>
      <c r="K61" s="7" t="e">
        <f>INDEX([1]!tblRestaurants[Zone],MATCH(C61,[1]!tblRestaurants[RestaurantID],0))</f>
        <v>#REF!</v>
      </c>
    </row>
    <row r="62" spans="1:11" x14ac:dyDescent="0.3">
      <c r="A62" s="7" t="s">
        <v>138</v>
      </c>
      <c r="B62" s="7" t="s">
        <v>139</v>
      </c>
      <c r="C62" s="7" t="s">
        <v>109</v>
      </c>
      <c r="D62" s="7" t="s">
        <v>49</v>
      </c>
      <c r="E62" s="9">
        <v>46094</v>
      </c>
      <c r="F62" s="10">
        <v>38</v>
      </c>
      <c r="G62" s="10">
        <v>4</v>
      </c>
      <c r="H62" s="7">
        <v>453</v>
      </c>
      <c r="I62" s="7" t="s">
        <v>35</v>
      </c>
      <c r="J62" s="7" t="e">
        <f>_xlfn.XLOOKUP(C62,[1]!tblRestaurants[RestaurantID],[1]!tblRestaurants[RestaurantName],"Not Listed")</f>
        <v>#REF!</v>
      </c>
      <c r="K62" s="7" t="e">
        <f>INDEX([1]!tblRestaurants[Zone],MATCH(C62,[1]!tblRestaurants[RestaurantID],0))</f>
        <v>#REF!</v>
      </c>
    </row>
    <row r="63" spans="1:11" x14ac:dyDescent="0.3">
      <c r="A63" s="7" t="s">
        <v>140</v>
      </c>
      <c r="B63" s="7" t="s">
        <v>51</v>
      </c>
      <c r="C63" s="7" t="s">
        <v>34</v>
      </c>
      <c r="D63" s="7" t="s">
        <v>46</v>
      </c>
      <c r="E63" s="9">
        <v>46063</v>
      </c>
      <c r="F63" s="10">
        <v>65</v>
      </c>
      <c r="G63" s="10">
        <v>4</v>
      </c>
      <c r="H63" s="7">
        <v>1434</v>
      </c>
      <c r="I63" s="7" t="s">
        <v>35</v>
      </c>
      <c r="J63" s="7" t="e">
        <f>_xlfn.XLOOKUP(C63,[1]!tblRestaurants[RestaurantID],[1]!tblRestaurants[RestaurantName],"Not Listed")</f>
        <v>#REF!</v>
      </c>
      <c r="K63" s="7" t="e">
        <f>INDEX([1]!tblRestaurants[Zone],MATCH(C63,[1]!tblRestaurants[RestaurantID],0))</f>
        <v>#REF!</v>
      </c>
    </row>
    <row r="64" spans="1:11" x14ac:dyDescent="0.3">
      <c r="A64" s="7" t="s">
        <v>141</v>
      </c>
      <c r="B64" s="7" t="s">
        <v>142</v>
      </c>
      <c r="C64" s="7" t="s">
        <v>11</v>
      </c>
      <c r="D64" s="7" t="s">
        <v>46</v>
      </c>
      <c r="E64" s="9">
        <v>46080</v>
      </c>
      <c r="F64" s="10">
        <v>56</v>
      </c>
      <c r="G64" s="10">
        <v>4</v>
      </c>
      <c r="H64" s="7">
        <v>1101</v>
      </c>
      <c r="I64" s="7" t="s">
        <v>13</v>
      </c>
      <c r="J64" s="7" t="e">
        <f>_xlfn.XLOOKUP(C64,[1]!tblRestaurants[RestaurantID],[1]!tblRestaurants[RestaurantName],"Not Listed")</f>
        <v>#REF!</v>
      </c>
      <c r="K64" s="7" t="e">
        <f>INDEX([1]!tblRestaurants[Zone],MATCH(C64,[1]!tblRestaurants[RestaurantID],0))</f>
        <v>#REF!</v>
      </c>
    </row>
    <row r="65" spans="1:11" x14ac:dyDescent="0.3">
      <c r="A65" s="7" t="s">
        <v>143</v>
      </c>
      <c r="B65" s="7" t="s">
        <v>76</v>
      </c>
      <c r="C65" s="7" t="s">
        <v>28</v>
      </c>
      <c r="D65" s="7" t="s">
        <v>46</v>
      </c>
      <c r="E65" s="9">
        <v>46085</v>
      </c>
      <c r="F65" s="10">
        <v>24</v>
      </c>
      <c r="G65" s="10">
        <v>2</v>
      </c>
      <c r="H65" s="7">
        <v>742</v>
      </c>
      <c r="I65" s="7" t="s">
        <v>13</v>
      </c>
      <c r="J65" s="7" t="e">
        <f>_xlfn.XLOOKUP(C65,[1]!tblRestaurants[RestaurantID],[1]!tblRestaurants[RestaurantName],"Not Listed")</f>
        <v>#REF!</v>
      </c>
      <c r="K65" s="7" t="e">
        <f>INDEX([1]!tblRestaurants[Zone],MATCH(C65,[1]!tblRestaurants[RestaurantID],0))</f>
        <v>#REF!</v>
      </c>
    </row>
    <row r="66" spans="1:11" x14ac:dyDescent="0.3">
      <c r="A66" s="7" t="s">
        <v>144</v>
      </c>
      <c r="B66" s="7" t="s">
        <v>145</v>
      </c>
      <c r="C66" s="7" t="s">
        <v>97</v>
      </c>
      <c r="D66" s="7" t="s">
        <v>12</v>
      </c>
      <c r="E66" s="9">
        <v>46065</v>
      </c>
      <c r="F66" s="10">
        <v>30</v>
      </c>
      <c r="G66" s="10">
        <v>2</v>
      </c>
      <c r="H66" s="7">
        <v>488</v>
      </c>
      <c r="I66" s="7" t="s">
        <v>13</v>
      </c>
      <c r="J66" s="7" t="e">
        <f>_xlfn.XLOOKUP(C66,[1]!tblRestaurants[RestaurantID],[1]!tblRestaurants[RestaurantName],"Not Listed")</f>
        <v>#REF!</v>
      </c>
      <c r="K66" s="7" t="e">
        <f>INDEX([1]!tblRestaurants[Zone],MATCH(C66,[1]!tblRestaurants[RestaurantID],0))</f>
        <v>#REF!</v>
      </c>
    </row>
    <row r="67" spans="1:11" x14ac:dyDescent="0.3">
      <c r="A67" s="7" t="s">
        <v>146</v>
      </c>
      <c r="B67" s="7" t="s">
        <v>111</v>
      </c>
      <c r="C67" s="7" t="s">
        <v>40</v>
      </c>
      <c r="D67" s="7" t="s">
        <v>49</v>
      </c>
      <c r="E67" s="9">
        <v>46076</v>
      </c>
      <c r="F67" s="10">
        <v>53</v>
      </c>
      <c r="G67" s="10">
        <v>4</v>
      </c>
      <c r="H67" s="7">
        <v>857</v>
      </c>
      <c r="I67" s="7" t="s">
        <v>13</v>
      </c>
      <c r="J67" s="7" t="e">
        <f>_xlfn.XLOOKUP(C67,[1]!tblRestaurants[RestaurantID],[1]!tblRestaurants[RestaurantName],"Not Listed")</f>
        <v>#REF!</v>
      </c>
      <c r="K67" s="7" t="e">
        <f>INDEX([1]!tblRestaurants[Zone],MATCH(C67,[1]!tblRestaurants[RestaurantID],0))</f>
        <v>#REF!</v>
      </c>
    </row>
    <row r="68" spans="1:11" x14ac:dyDescent="0.3">
      <c r="A68" s="7" t="s">
        <v>147</v>
      </c>
      <c r="B68" s="7" t="s">
        <v>131</v>
      </c>
      <c r="C68" s="7" t="s">
        <v>23</v>
      </c>
      <c r="D68" s="7" t="s">
        <v>24</v>
      </c>
      <c r="E68" s="9">
        <v>46076</v>
      </c>
      <c r="F68" s="10">
        <v>19</v>
      </c>
      <c r="G68" s="10">
        <v>1</v>
      </c>
      <c r="H68" s="7">
        <v>1359</v>
      </c>
      <c r="I68" s="7" t="s">
        <v>13</v>
      </c>
      <c r="J68" s="7" t="e">
        <f>_xlfn.XLOOKUP(C68,[1]!tblRestaurants[RestaurantID],[1]!tblRestaurants[RestaurantName],"Not Listed")</f>
        <v>#REF!</v>
      </c>
      <c r="K68" s="7" t="e">
        <f>INDEX([1]!tblRestaurants[Zone],MATCH(C68,[1]!tblRestaurants[RestaurantID],0))</f>
        <v>#REF!</v>
      </c>
    </row>
    <row r="69" spans="1:11" x14ac:dyDescent="0.3">
      <c r="A69" s="7" t="s">
        <v>148</v>
      </c>
      <c r="B69" s="7" t="s">
        <v>73</v>
      </c>
      <c r="C69" s="7" t="s">
        <v>16</v>
      </c>
      <c r="D69" s="7" t="s">
        <v>12</v>
      </c>
      <c r="E69" s="9">
        <v>46072</v>
      </c>
      <c r="F69" s="10">
        <v>53</v>
      </c>
      <c r="G69" s="10">
        <v>4</v>
      </c>
      <c r="H69" s="7">
        <v>1282</v>
      </c>
      <c r="I69" s="7" t="s">
        <v>13</v>
      </c>
      <c r="J69" s="7" t="e">
        <f>_xlfn.XLOOKUP(C69,[1]!tblRestaurants[RestaurantID],[1]!tblRestaurants[RestaurantName],"Not Listed")</f>
        <v>#REF!</v>
      </c>
      <c r="K69" s="7" t="e">
        <f>INDEX([1]!tblRestaurants[Zone],MATCH(C69,[1]!tblRestaurants[RestaurantID],0))</f>
        <v>#REF!</v>
      </c>
    </row>
    <row r="70" spans="1:11" x14ac:dyDescent="0.3">
      <c r="A70" s="7" t="s">
        <v>149</v>
      </c>
      <c r="B70" s="7" t="s">
        <v>83</v>
      </c>
      <c r="C70" s="7" t="s">
        <v>31</v>
      </c>
      <c r="D70" s="7" t="s">
        <v>24</v>
      </c>
      <c r="E70" s="9">
        <v>46085</v>
      </c>
      <c r="F70" s="10">
        <v>40</v>
      </c>
      <c r="G70" s="10">
        <v>1</v>
      </c>
      <c r="H70" s="7">
        <v>976</v>
      </c>
      <c r="I70" s="7" t="s">
        <v>13</v>
      </c>
      <c r="J70" s="7" t="e">
        <f>_xlfn.XLOOKUP(C70,[1]!tblRestaurants[RestaurantID],[1]!tblRestaurants[RestaurantName],"Not Listed")</f>
        <v>#REF!</v>
      </c>
      <c r="K70" s="7" t="e">
        <f>INDEX([1]!tblRestaurants[Zone],MATCH(C70,[1]!tblRestaurants[RestaurantID],0))</f>
        <v>#REF!</v>
      </c>
    </row>
    <row r="71" spans="1:11" x14ac:dyDescent="0.3">
      <c r="A71" s="7" t="s">
        <v>150</v>
      </c>
      <c r="B71" s="7" t="s">
        <v>151</v>
      </c>
      <c r="C71" s="7" t="s">
        <v>81</v>
      </c>
      <c r="D71" s="7" t="s">
        <v>20</v>
      </c>
      <c r="E71" s="9">
        <v>46039</v>
      </c>
      <c r="F71" s="10">
        <v>52</v>
      </c>
      <c r="G71" s="10">
        <v>5</v>
      </c>
      <c r="H71" s="7">
        <v>1273</v>
      </c>
      <c r="I71" s="7" t="s">
        <v>13</v>
      </c>
      <c r="J71" s="7" t="e">
        <f>_xlfn.XLOOKUP(C71,[1]!tblRestaurants[RestaurantID],[1]!tblRestaurants[RestaurantName],"Not Listed")</f>
        <v>#REF!</v>
      </c>
      <c r="K71" s="7" t="e">
        <f>INDEX([1]!tblRestaurants[Zone],MATCH(C71,[1]!tblRestaurants[RestaurantID],0))</f>
        <v>#REF!</v>
      </c>
    </row>
    <row r="72" spans="1:11" x14ac:dyDescent="0.3">
      <c r="A72" s="7" t="s">
        <v>152</v>
      </c>
      <c r="B72" s="7" t="s">
        <v>153</v>
      </c>
      <c r="C72" s="7" t="s">
        <v>95</v>
      </c>
      <c r="D72" s="7" t="s">
        <v>46</v>
      </c>
      <c r="E72" s="9">
        <v>46107</v>
      </c>
      <c r="F72" s="10">
        <v>57</v>
      </c>
      <c r="G72" s="10">
        <v>2</v>
      </c>
      <c r="H72" s="7">
        <v>1125</v>
      </c>
      <c r="I72" s="7" t="s">
        <v>13</v>
      </c>
      <c r="J72" s="7" t="e">
        <f>_xlfn.XLOOKUP(C72,[1]!tblRestaurants[RestaurantID],[1]!tblRestaurants[RestaurantName],"Not Listed")</f>
        <v>#REF!</v>
      </c>
      <c r="K72" s="7" t="e">
        <f>INDEX([1]!tblRestaurants[Zone],MATCH(C72,[1]!tblRestaurants[RestaurantID],0))</f>
        <v>#REF!</v>
      </c>
    </row>
    <row r="73" spans="1:11" x14ac:dyDescent="0.3">
      <c r="A73" s="7" t="s">
        <v>154</v>
      </c>
      <c r="B73" s="7" t="s">
        <v>55</v>
      </c>
      <c r="C73" s="7" t="s">
        <v>38</v>
      </c>
      <c r="D73" s="7" t="s">
        <v>12</v>
      </c>
      <c r="E73" s="9">
        <v>46050</v>
      </c>
      <c r="F73" s="10">
        <v>41</v>
      </c>
      <c r="G73" s="10">
        <v>4</v>
      </c>
      <c r="H73" s="7">
        <v>849</v>
      </c>
      <c r="I73" s="7" t="s">
        <v>13</v>
      </c>
      <c r="J73" s="7" t="e">
        <f>_xlfn.XLOOKUP(C73,[1]!tblRestaurants[RestaurantID],[1]!tblRestaurants[RestaurantName],"Not Listed")</f>
        <v>#REF!</v>
      </c>
      <c r="K73" s="7" t="e">
        <f>INDEX([1]!tblRestaurants[Zone],MATCH(C73,[1]!tblRestaurants[RestaurantID],0))</f>
        <v>#REF!</v>
      </c>
    </row>
    <row r="74" spans="1:11" x14ac:dyDescent="0.3">
      <c r="A74" s="7" t="s">
        <v>155</v>
      </c>
      <c r="B74" s="7" t="s">
        <v>27</v>
      </c>
      <c r="C74" s="7" t="s">
        <v>28</v>
      </c>
      <c r="D74" s="7" t="s">
        <v>20</v>
      </c>
      <c r="E74" s="9">
        <v>46055</v>
      </c>
      <c r="F74" s="10">
        <v>46</v>
      </c>
      <c r="G74" s="10">
        <v>5</v>
      </c>
      <c r="H74" s="7">
        <v>286</v>
      </c>
      <c r="I74" s="7" t="s">
        <v>25</v>
      </c>
      <c r="J74" s="7" t="e">
        <f>_xlfn.XLOOKUP(C74,[1]!tblRestaurants[RestaurantID],[1]!tblRestaurants[RestaurantName],"Not Listed")</f>
        <v>#REF!</v>
      </c>
      <c r="K74" s="7" t="e">
        <f>INDEX([1]!tblRestaurants[Zone],MATCH(C74,[1]!tblRestaurants[RestaurantID],0))</f>
        <v>#REF!</v>
      </c>
    </row>
    <row r="75" spans="1:11" x14ac:dyDescent="0.3">
      <c r="A75" s="7" t="s">
        <v>156</v>
      </c>
      <c r="B75" s="7" t="s">
        <v>157</v>
      </c>
      <c r="C75" s="7" t="s">
        <v>97</v>
      </c>
      <c r="D75" s="7" t="s">
        <v>49</v>
      </c>
      <c r="E75" s="9">
        <v>46106</v>
      </c>
      <c r="F75" s="10">
        <v>24</v>
      </c>
      <c r="G75" s="10">
        <v>1</v>
      </c>
      <c r="H75" s="7">
        <v>243</v>
      </c>
      <c r="I75" s="7" t="s">
        <v>25</v>
      </c>
      <c r="J75" s="7" t="e">
        <f>_xlfn.XLOOKUP(C75,[1]!tblRestaurants[RestaurantID],[1]!tblRestaurants[RestaurantName],"Not Listed")</f>
        <v>#REF!</v>
      </c>
      <c r="K75" s="7" t="e">
        <f>INDEX([1]!tblRestaurants[Zone],MATCH(C75,[1]!tblRestaurants[RestaurantID],0))</f>
        <v>#REF!</v>
      </c>
    </row>
    <row r="76" spans="1:11" x14ac:dyDescent="0.3">
      <c r="A76" s="7" t="s">
        <v>158</v>
      </c>
      <c r="B76" s="7" t="s">
        <v>58</v>
      </c>
      <c r="C76" s="7" t="s">
        <v>84</v>
      </c>
      <c r="D76" s="7" t="s">
        <v>46</v>
      </c>
      <c r="E76" s="9">
        <v>46042</v>
      </c>
      <c r="F76" s="10">
        <v>39</v>
      </c>
      <c r="G76" s="10">
        <v>1</v>
      </c>
      <c r="H76" s="7">
        <v>1335</v>
      </c>
      <c r="I76" s="7" t="s">
        <v>25</v>
      </c>
      <c r="J76" s="7" t="e">
        <f>_xlfn.XLOOKUP(C76,[1]!tblRestaurants[RestaurantID],[1]!tblRestaurants[RestaurantName],"Not Listed")</f>
        <v>#REF!</v>
      </c>
      <c r="K76" s="7" t="e">
        <f>INDEX([1]!tblRestaurants[Zone],MATCH(C76,[1]!tblRestaurants[RestaurantID],0))</f>
        <v>#REF!</v>
      </c>
    </row>
    <row r="77" spans="1:11" x14ac:dyDescent="0.3">
      <c r="A77" s="7" t="s">
        <v>159</v>
      </c>
      <c r="B77" s="7" t="s">
        <v>160</v>
      </c>
      <c r="C77" s="7" t="s">
        <v>28</v>
      </c>
      <c r="D77" s="7" t="s">
        <v>12</v>
      </c>
      <c r="E77" s="9">
        <v>46044</v>
      </c>
      <c r="F77" s="10">
        <v>53</v>
      </c>
      <c r="G77" s="10">
        <v>5</v>
      </c>
      <c r="H77" s="7">
        <v>1423</v>
      </c>
      <c r="I77" s="7" t="s">
        <v>25</v>
      </c>
      <c r="J77" s="7" t="e">
        <f>_xlfn.XLOOKUP(C77,[1]!tblRestaurants[RestaurantID],[1]!tblRestaurants[RestaurantName],"Not Listed")</f>
        <v>#REF!</v>
      </c>
      <c r="K77" s="7" t="e">
        <f>INDEX([1]!tblRestaurants[Zone],MATCH(C77,[1]!tblRestaurants[RestaurantID],0))</f>
        <v>#REF!</v>
      </c>
    </row>
    <row r="78" spans="1:11" x14ac:dyDescent="0.3">
      <c r="A78" s="7" t="s">
        <v>161</v>
      </c>
      <c r="B78" s="7" t="s">
        <v>123</v>
      </c>
      <c r="C78" s="7" t="s">
        <v>81</v>
      </c>
      <c r="D78" s="7" t="s">
        <v>12</v>
      </c>
      <c r="E78" s="9">
        <v>46036</v>
      </c>
      <c r="F78" s="10">
        <v>10</v>
      </c>
      <c r="G78" s="10">
        <v>5</v>
      </c>
      <c r="H78" s="7">
        <v>948</v>
      </c>
      <c r="I78" s="7" t="s">
        <v>13</v>
      </c>
      <c r="J78" s="7" t="e">
        <f>_xlfn.XLOOKUP(C78,[1]!tblRestaurants[RestaurantID],[1]!tblRestaurants[RestaurantName],"Not Listed")</f>
        <v>#REF!</v>
      </c>
      <c r="K78" s="7" t="e">
        <f>INDEX([1]!tblRestaurants[Zone],MATCH(C78,[1]!tblRestaurants[RestaurantID],0))</f>
        <v>#REF!</v>
      </c>
    </row>
    <row r="79" spans="1:11" x14ac:dyDescent="0.3">
      <c r="A79" s="7" t="s">
        <v>162</v>
      </c>
      <c r="B79" s="7" t="s">
        <v>58</v>
      </c>
      <c r="C79" s="7" t="s">
        <v>64</v>
      </c>
      <c r="D79" s="7" t="s">
        <v>46</v>
      </c>
      <c r="E79" s="9">
        <v>46111</v>
      </c>
      <c r="F79" s="10">
        <v>22</v>
      </c>
      <c r="G79" s="10">
        <v>2</v>
      </c>
      <c r="H79" s="7">
        <v>388</v>
      </c>
      <c r="I79" s="7" t="s">
        <v>13</v>
      </c>
      <c r="J79" s="7" t="e">
        <f>_xlfn.XLOOKUP(C79,[1]!tblRestaurants[RestaurantID],[1]!tblRestaurants[RestaurantName],"Not Listed")</f>
        <v>#REF!</v>
      </c>
      <c r="K79" s="7" t="e">
        <f>INDEX([1]!tblRestaurants[Zone],MATCH(C79,[1]!tblRestaurants[RestaurantID],0))</f>
        <v>#REF!</v>
      </c>
    </row>
    <row r="80" spans="1:11" x14ac:dyDescent="0.3">
      <c r="A80" s="7" t="s">
        <v>163</v>
      </c>
      <c r="B80" s="7" t="s">
        <v>164</v>
      </c>
      <c r="C80" s="7" t="s">
        <v>31</v>
      </c>
      <c r="D80" s="7" t="s">
        <v>49</v>
      </c>
      <c r="E80" s="9">
        <v>46095</v>
      </c>
      <c r="F80" s="10">
        <v>40</v>
      </c>
      <c r="G80" s="10">
        <v>4</v>
      </c>
      <c r="H80" s="7">
        <v>938</v>
      </c>
      <c r="I80" s="7" t="s">
        <v>13</v>
      </c>
      <c r="J80" s="7" t="e">
        <f>_xlfn.XLOOKUP(C80,[1]!tblRestaurants[RestaurantID],[1]!tblRestaurants[RestaurantName],"Not Listed")</f>
        <v>#REF!</v>
      </c>
      <c r="K80" s="7" t="e">
        <f>INDEX([1]!tblRestaurants[Zone],MATCH(C80,[1]!tblRestaurants[RestaurantID],0))</f>
        <v>#REF!</v>
      </c>
    </row>
    <row r="81" spans="1:11" x14ac:dyDescent="0.3">
      <c r="A81" s="7" t="s">
        <v>165</v>
      </c>
      <c r="B81" s="7" t="s">
        <v>53</v>
      </c>
      <c r="C81" s="7" t="s">
        <v>84</v>
      </c>
      <c r="D81" s="7" t="s">
        <v>20</v>
      </c>
      <c r="E81" s="9">
        <v>46085</v>
      </c>
      <c r="F81" s="10">
        <v>25</v>
      </c>
      <c r="G81" s="10">
        <v>1</v>
      </c>
      <c r="H81" s="7">
        <v>1067</v>
      </c>
      <c r="I81" s="7" t="s">
        <v>25</v>
      </c>
      <c r="J81" s="7" t="e">
        <f>_xlfn.XLOOKUP(C81,[1]!tblRestaurants[RestaurantID],[1]!tblRestaurants[RestaurantName],"Not Listed")</f>
        <v>#REF!</v>
      </c>
      <c r="K81" s="7" t="e">
        <f>INDEX([1]!tblRestaurants[Zone],MATCH(C81,[1]!tblRestaurants[RestaurantID],0))</f>
        <v>#REF!</v>
      </c>
    </row>
    <row r="82" spans="1:11" x14ac:dyDescent="0.3">
      <c r="A82" s="7" t="s">
        <v>166</v>
      </c>
      <c r="B82" s="7" t="s">
        <v>167</v>
      </c>
      <c r="C82" s="7" t="s">
        <v>45</v>
      </c>
      <c r="D82" s="7" t="s">
        <v>20</v>
      </c>
      <c r="E82" s="9">
        <v>46045</v>
      </c>
      <c r="F82" s="10">
        <v>34</v>
      </c>
      <c r="G82" s="10">
        <v>3</v>
      </c>
      <c r="H82" s="7">
        <v>1441</v>
      </c>
      <c r="I82" s="7" t="s">
        <v>35</v>
      </c>
      <c r="J82" s="7" t="e">
        <f>_xlfn.XLOOKUP(C82,[1]!tblRestaurants[RestaurantID],[1]!tblRestaurants[RestaurantName],"Not Listed")</f>
        <v>#REF!</v>
      </c>
      <c r="K82" s="7" t="e">
        <f>INDEX([1]!tblRestaurants[Zone],MATCH(C82,[1]!tblRestaurants[RestaurantID],0))</f>
        <v>#REF!</v>
      </c>
    </row>
    <row r="83" spans="1:11" x14ac:dyDescent="0.3">
      <c r="A83" s="7" t="s">
        <v>168</v>
      </c>
      <c r="B83" s="7" t="s">
        <v>18</v>
      </c>
      <c r="C83" s="7" t="s">
        <v>67</v>
      </c>
      <c r="D83" s="7" t="s">
        <v>20</v>
      </c>
      <c r="E83" s="9">
        <v>46078</v>
      </c>
      <c r="F83" s="10">
        <v>10</v>
      </c>
      <c r="G83" s="10">
        <v>5</v>
      </c>
      <c r="H83" s="7">
        <v>729</v>
      </c>
      <c r="I83" s="7" t="s">
        <v>13</v>
      </c>
      <c r="J83" s="7" t="e">
        <f>_xlfn.XLOOKUP(C83,[1]!tblRestaurants[RestaurantID],[1]!tblRestaurants[RestaurantName],"Not Listed")</f>
        <v>#REF!</v>
      </c>
      <c r="K83" s="7" t="e">
        <f>INDEX([1]!tblRestaurants[Zone],MATCH(C83,[1]!tblRestaurants[RestaurantID],0))</f>
        <v>#REF!</v>
      </c>
    </row>
    <row r="84" spans="1:11" x14ac:dyDescent="0.3">
      <c r="A84" s="7" t="s">
        <v>169</v>
      </c>
      <c r="B84" s="7" t="s">
        <v>76</v>
      </c>
      <c r="C84" s="7" t="s">
        <v>64</v>
      </c>
      <c r="D84" s="7" t="s">
        <v>12</v>
      </c>
      <c r="E84" s="9">
        <v>46080</v>
      </c>
      <c r="F84" s="10">
        <v>38</v>
      </c>
      <c r="G84" s="10">
        <v>5</v>
      </c>
      <c r="H84" s="7">
        <v>956</v>
      </c>
      <c r="I84" s="7" t="s">
        <v>13</v>
      </c>
      <c r="J84" s="7" t="e">
        <f>_xlfn.XLOOKUP(C84,[1]!tblRestaurants[RestaurantID],[1]!tblRestaurants[RestaurantName],"Not Listed")</f>
        <v>#REF!</v>
      </c>
      <c r="K84" s="7" t="e">
        <f>INDEX([1]!tblRestaurants[Zone],MATCH(C84,[1]!tblRestaurants[RestaurantID],0))</f>
        <v>#REF!</v>
      </c>
    </row>
    <row r="85" spans="1:11" x14ac:dyDescent="0.3">
      <c r="A85" s="7" t="s">
        <v>170</v>
      </c>
      <c r="B85" s="7" t="s">
        <v>171</v>
      </c>
      <c r="C85" s="7" t="s">
        <v>61</v>
      </c>
      <c r="D85" s="7" t="s">
        <v>24</v>
      </c>
      <c r="E85" s="9">
        <v>46085</v>
      </c>
      <c r="F85" s="10">
        <v>53</v>
      </c>
      <c r="G85" s="10">
        <v>2</v>
      </c>
      <c r="H85" s="7">
        <v>906</v>
      </c>
      <c r="I85" s="7" t="s">
        <v>35</v>
      </c>
      <c r="J85" s="7" t="e">
        <f>_xlfn.XLOOKUP(C85,[1]!tblRestaurants[RestaurantID],[1]!tblRestaurants[RestaurantName],"Not Listed")</f>
        <v>#REF!</v>
      </c>
      <c r="K85" s="7" t="e">
        <f>INDEX([1]!tblRestaurants[Zone],MATCH(C85,[1]!tblRestaurants[RestaurantID],0))</f>
        <v>#REF!</v>
      </c>
    </row>
    <row r="86" spans="1:11" x14ac:dyDescent="0.3">
      <c r="A86" s="7" t="s">
        <v>172</v>
      </c>
      <c r="B86" s="7" t="s">
        <v>53</v>
      </c>
      <c r="C86" s="7" t="s">
        <v>28</v>
      </c>
      <c r="D86" s="7" t="s">
        <v>46</v>
      </c>
      <c r="E86" s="9">
        <v>46112</v>
      </c>
      <c r="F86" s="10">
        <v>51</v>
      </c>
      <c r="G86" s="10">
        <v>5</v>
      </c>
      <c r="H86" s="7">
        <v>571</v>
      </c>
      <c r="I86" s="7" t="s">
        <v>13</v>
      </c>
      <c r="J86" s="7" t="e">
        <f>_xlfn.XLOOKUP(C86,[1]!tblRestaurants[RestaurantID],[1]!tblRestaurants[RestaurantName],"Not Listed")</f>
        <v>#REF!</v>
      </c>
      <c r="K86" s="7" t="e">
        <f>INDEX([1]!tblRestaurants[Zone],MATCH(C86,[1]!tblRestaurants[RestaurantID],0))</f>
        <v>#REF!</v>
      </c>
    </row>
    <row r="87" spans="1:11" x14ac:dyDescent="0.3">
      <c r="A87" s="7" t="s">
        <v>173</v>
      </c>
      <c r="B87" s="7" t="s">
        <v>129</v>
      </c>
      <c r="C87" s="7" t="s">
        <v>67</v>
      </c>
      <c r="D87" s="7" t="s">
        <v>46</v>
      </c>
      <c r="E87" s="9">
        <v>46053</v>
      </c>
      <c r="F87" s="10">
        <v>25</v>
      </c>
      <c r="G87" s="10">
        <v>4</v>
      </c>
      <c r="H87" s="7">
        <v>1185</v>
      </c>
      <c r="I87" s="7" t="s">
        <v>13</v>
      </c>
      <c r="J87" s="7" t="e">
        <f>_xlfn.XLOOKUP(C87,[1]!tblRestaurants[RestaurantID],[1]!tblRestaurants[RestaurantName],"Not Listed")</f>
        <v>#REF!</v>
      </c>
      <c r="K87" s="7" t="e">
        <f>INDEX([1]!tblRestaurants[Zone],MATCH(C87,[1]!tblRestaurants[RestaurantID],0))</f>
        <v>#REF!</v>
      </c>
    </row>
    <row r="88" spans="1:11" x14ac:dyDescent="0.3">
      <c r="A88" s="7" t="s">
        <v>174</v>
      </c>
      <c r="B88" s="7" t="s">
        <v>175</v>
      </c>
      <c r="C88" s="7" t="s">
        <v>64</v>
      </c>
      <c r="D88" s="7" t="s">
        <v>12</v>
      </c>
      <c r="E88" s="9">
        <v>46051</v>
      </c>
      <c r="F88" s="10">
        <v>29</v>
      </c>
      <c r="G88" s="10">
        <v>5</v>
      </c>
      <c r="H88" s="7">
        <v>935</v>
      </c>
      <c r="I88" s="7" t="s">
        <v>13</v>
      </c>
      <c r="J88" s="7" t="e">
        <f>_xlfn.XLOOKUP(C88,[1]!tblRestaurants[RestaurantID],[1]!tblRestaurants[RestaurantName],"Not Listed")</f>
        <v>#REF!</v>
      </c>
      <c r="K88" s="7" t="e">
        <f>INDEX([1]!tblRestaurants[Zone],MATCH(C88,[1]!tblRestaurants[RestaurantID],0))</f>
        <v>#REF!</v>
      </c>
    </row>
    <row r="89" spans="1:11" x14ac:dyDescent="0.3">
      <c r="A89" s="7" t="s">
        <v>176</v>
      </c>
      <c r="B89" s="7" t="s">
        <v>51</v>
      </c>
      <c r="C89" s="7" t="s">
        <v>16</v>
      </c>
      <c r="D89" s="7" t="s">
        <v>20</v>
      </c>
      <c r="E89" s="9">
        <v>46093</v>
      </c>
      <c r="F89" s="10">
        <v>43</v>
      </c>
      <c r="G89" s="10">
        <v>3</v>
      </c>
      <c r="H89" s="7">
        <v>900</v>
      </c>
      <c r="I89" s="7" t="s">
        <v>13</v>
      </c>
      <c r="J89" s="7" t="e">
        <f>_xlfn.XLOOKUP(C89,[1]!tblRestaurants[RestaurantID],[1]!tblRestaurants[RestaurantName],"Not Listed")</f>
        <v>#REF!</v>
      </c>
      <c r="K89" s="7" t="e">
        <f>INDEX([1]!tblRestaurants[Zone],MATCH(C89,[1]!tblRestaurants[RestaurantID],0))</f>
        <v>#REF!</v>
      </c>
    </row>
    <row r="90" spans="1:11" x14ac:dyDescent="0.3">
      <c r="A90" s="7" t="s">
        <v>177</v>
      </c>
      <c r="B90" s="7" t="s">
        <v>33</v>
      </c>
      <c r="C90" s="7" t="s">
        <v>69</v>
      </c>
      <c r="D90" s="7" t="s">
        <v>12</v>
      </c>
      <c r="E90" s="9">
        <v>46052</v>
      </c>
      <c r="F90" s="10">
        <v>44</v>
      </c>
      <c r="G90" s="10">
        <v>1</v>
      </c>
      <c r="H90" s="7">
        <v>1277</v>
      </c>
      <c r="I90" s="7" t="s">
        <v>25</v>
      </c>
      <c r="J90" s="7" t="e">
        <f>_xlfn.XLOOKUP(C90,[1]!tblRestaurants[RestaurantID],[1]!tblRestaurants[RestaurantName],"Not Listed")</f>
        <v>#REF!</v>
      </c>
      <c r="K90" s="7" t="e">
        <f>INDEX([1]!tblRestaurants[Zone],MATCH(C90,[1]!tblRestaurants[RestaurantID],0))</f>
        <v>#REF!</v>
      </c>
    </row>
    <row r="91" spans="1:11" x14ac:dyDescent="0.3">
      <c r="A91" s="7" t="s">
        <v>178</v>
      </c>
      <c r="B91" s="7" t="s">
        <v>179</v>
      </c>
      <c r="C91" s="7" t="s">
        <v>40</v>
      </c>
      <c r="D91" s="7" t="s">
        <v>24</v>
      </c>
      <c r="E91" s="9">
        <v>46084</v>
      </c>
      <c r="F91" s="10">
        <v>44</v>
      </c>
      <c r="G91" s="10">
        <v>3</v>
      </c>
      <c r="H91" s="7">
        <v>1387</v>
      </c>
      <c r="I91" s="7" t="s">
        <v>25</v>
      </c>
      <c r="J91" s="7" t="e">
        <f>_xlfn.XLOOKUP(C91,[1]!tblRestaurants[RestaurantID],[1]!tblRestaurants[RestaurantName],"Not Listed")</f>
        <v>#REF!</v>
      </c>
      <c r="K91" s="7" t="e">
        <f>INDEX([1]!tblRestaurants[Zone],MATCH(C91,[1]!tblRestaurants[RestaurantID],0))</f>
        <v>#REF!</v>
      </c>
    </row>
    <row r="92" spans="1:11" x14ac:dyDescent="0.3">
      <c r="A92" s="7" t="s">
        <v>180</v>
      </c>
      <c r="B92" s="7" t="s">
        <v>51</v>
      </c>
      <c r="C92" s="7" t="s">
        <v>31</v>
      </c>
      <c r="D92" s="7" t="s">
        <v>12</v>
      </c>
      <c r="E92" s="9">
        <v>46035</v>
      </c>
      <c r="F92" s="10">
        <v>43</v>
      </c>
      <c r="G92" s="10">
        <v>3</v>
      </c>
      <c r="H92" s="7">
        <v>547</v>
      </c>
      <c r="I92" s="7" t="s">
        <v>13</v>
      </c>
      <c r="J92" s="7" t="e">
        <f>_xlfn.XLOOKUP(C92,[1]!tblRestaurants[RestaurantID],[1]!tblRestaurants[RestaurantName],"Not Listed")</f>
        <v>#REF!</v>
      </c>
      <c r="K92" s="7" t="e">
        <f>INDEX([1]!tblRestaurants[Zone],MATCH(C92,[1]!tblRestaurants[RestaurantID],0))</f>
        <v>#REF!</v>
      </c>
    </row>
    <row r="93" spans="1:11" x14ac:dyDescent="0.3">
      <c r="A93" s="7" t="s">
        <v>181</v>
      </c>
      <c r="B93" s="7" t="s">
        <v>18</v>
      </c>
      <c r="C93" s="7" t="s">
        <v>45</v>
      </c>
      <c r="D93" s="7" t="s">
        <v>12</v>
      </c>
      <c r="E93" s="9">
        <v>46028</v>
      </c>
      <c r="F93" s="10">
        <v>27</v>
      </c>
      <c r="G93" s="10">
        <v>1</v>
      </c>
      <c r="H93" s="7">
        <v>1313</v>
      </c>
      <c r="I93" s="7" t="s">
        <v>13</v>
      </c>
      <c r="J93" s="7" t="e">
        <f>_xlfn.XLOOKUP(C93,[1]!tblRestaurants[RestaurantID],[1]!tblRestaurants[RestaurantName],"Not Listed")</f>
        <v>#REF!</v>
      </c>
      <c r="K93" s="7" t="e">
        <f>INDEX([1]!tblRestaurants[Zone],MATCH(C93,[1]!tblRestaurants[RestaurantID],0))</f>
        <v>#REF!</v>
      </c>
    </row>
    <row r="94" spans="1:11" x14ac:dyDescent="0.3">
      <c r="A94" s="7" t="s">
        <v>182</v>
      </c>
      <c r="B94" s="7" t="s">
        <v>66</v>
      </c>
      <c r="C94" s="7" t="s">
        <v>67</v>
      </c>
      <c r="D94" s="7" t="s">
        <v>49</v>
      </c>
      <c r="E94" s="9">
        <v>46024</v>
      </c>
      <c r="F94" s="10">
        <v>23</v>
      </c>
      <c r="G94" s="10">
        <v>4</v>
      </c>
      <c r="H94" s="7">
        <v>877</v>
      </c>
      <c r="I94" s="7" t="s">
        <v>13</v>
      </c>
      <c r="J94" s="7" t="e">
        <f>_xlfn.XLOOKUP(C94,[1]!tblRestaurants[RestaurantID],[1]!tblRestaurants[RestaurantName],"Not Listed")</f>
        <v>#REF!</v>
      </c>
      <c r="K94" s="7" t="e">
        <f>INDEX([1]!tblRestaurants[Zone],MATCH(C94,[1]!tblRestaurants[RestaurantID],0))</f>
        <v>#REF!</v>
      </c>
    </row>
    <row r="95" spans="1:11" x14ac:dyDescent="0.3">
      <c r="A95" s="7" t="s">
        <v>183</v>
      </c>
      <c r="B95" s="7" t="s">
        <v>107</v>
      </c>
      <c r="C95" s="7" t="s">
        <v>28</v>
      </c>
      <c r="D95" s="7" t="s">
        <v>20</v>
      </c>
      <c r="E95" s="9">
        <v>46037</v>
      </c>
      <c r="F95" s="10">
        <v>30</v>
      </c>
      <c r="G95" s="10">
        <v>1</v>
      </c>
      <c r="H95" s="7">
        <v>1000</v>
      </c>
      <c r="I95" s="7" t="s">
        <v>13</v>
      </c>
      <c r="J95" s="7" t="e">
        <f>_xlfn.XLOOKUP(C95,[1]!tblRestaurants[RestaurantID],[1]!tblRestaurants[RestaurantName],"Not Listed")</f>
        <v>#REF!</v>
      </c>
      <c r="K95" s="7" t="e">
        <f>INDEX([1]!tblRestaurants[Zone],MATCH(C95,[1]!tblRestaurants[RestaurantID],0))</f>
        <v>#REF!</v>
      </c>
    </row>
    <row r="96" spans="1:11" x14ac:dyDescent="0.3">
      <c r="A96" s="7" t="s">
        <v>184</v>
      </c>
      <c r="B96" s="7" t="s">
        <v>185</v>
      </c>
      <c r="C96" s="7" t="s">
        <v>23</v>
      </c>
      <c r="D96" s="7" t="s">
        <v>24</v>
      </c>
      <c r="E96" s="9">
        <v>46042</v>
      </c>
      <c r="F96" s="10">
        <v>50</v>
      </c>
      <c r="G96" s="10">
        <v>1</v>
      </c>
      <c r="H96" s="7">
        <v>688</v>
      </c>
      <c r="I96" s="7" t="s">
        <v>13</v>
      </c>
      <c r="J96" s="7" t="e">
        <f>_xlfn.XLOOKUP(C96,[1]!tblRestaurants[RestaurantID],[1]!tblRestaurants[RestaurantName],"Not Listed")</f>
        <v>#REF!</v>
      </c>
      <c r="K96" s="7" t="e">
        <f>INDEX([1]!tblRestaurants[Zone],MATCH(C96,[1]!tblRestaurants[RestaurantID],0))</f>
        <v>#REF!</v>
      </c>
    </row>
    <row r="97" spans="1:11" x14ac:dyDescent="0.3">
      <c r="A97" s="7" t="s">
        <v>186</v>
      </c>
      <c r="B97" s="7" t="s">
        <v>131</v>
      </c>
      <c r="C97" s="7" t="s">
        <v>31</v>
      </c>
      <c r="D97" s="7" t="s">
        <v>46</v>
      </c>
      <c r="E97" s="9">
        <v>46102</v>
      </c>
      <c r="F97" s="10">
        <v>10</v>
      </c>
      <c r="G97" s="10">
        <v>2</v>
      </c>
      <c r="H97" s="7">
        <v>1250</v>
      </c>
      <c r="I97" s="7" t="s">
        <v>13</v>
      </c>
      <c r="J97" s="7" t="e">
        <f>_xlfn.XLOOKUP(C97,[1]!tblRestaurants[RestaurantID],[1]!tblRestaurants[RestaurantName],"Not Listed")</f>
        <v>#REF!</v>
      </c>
      <c r="K97" s="7" t="e">
        <f>INDEX([1]!tblRestaurants[Zone],MATCH(C97,[1]!tblRestaurants[RestaurantID],0))</f>
        <v>#REF!</v>
      </c>
    </row>
    <row r="98" spans="1:11" x14ac:dyDescent="0.3">
      <c r="A98" s="7" t="s">
        <v>187</v>
      </c>
      <c r="B98" s="7" t="s">
        <v>101</v>
      </c>
      <c r="C98" s="7" t="s">
        <v>69</v>
      </c>
      <c r="D98" s="7" t="s">
        <v>46</v>
      </c>
      <c r="E98" s="9">
        <v>46077</v>
      </c>
      <c r="F98" s="10">
        <v>31</v>
      </c>
      <c r="G98" s="10">
        <v>5</v>
      </c>
      <c r="H98" s="7">
        <v>383</v>
      </c>
      <c r="I98" s="7" t="s">
        <v>25</v>
      </c>
      <c r="J98" s="7" t="e">
        <f>_xlfn.XLOOKUP(C98,[1]!tblRestaurants[RestaurantID],[1]!tblRestaurants[RestaurantName],"Not Listed")</f>
        <v>#REF!</v>
      </c>
      <c r="K98" s="7" t="e">
        <f>INDEX([1]!tblRestaurants[Zone],MATCH(C98,[1]!tblRestaurants[RestaurantID],0))</f>
        <v>#REF!</v>
      </c>
    </row>
    <row r="99" spans="1:11" x14ac:dyDescent="0.3">
      <c r="A99" s="7" t="s">
        <v>188</v>
      </c>
      <c r="B99" s="7" t="s">
        <v>189</v>
      </c>
      <c r="C99" s="7" t="s">
        <v>40</v>
      </c>
      <c r="D99" s="7" t="s">
        <v>12</v>
      </c>
      <c r="E99" s="9">
        <v>46107</v>
      </c>
      <c r="F99" s="10">
        <v>56</v>
      </c>
      <c r="G99" s="10">
        <v>1</v>
      </c>
      <c r="H99" s="7">
        <v>501</v>
      </c>
      <c r="I99" s="7" t="s">
        <v>13</v>
      </c>
      <c r="J99" s="7" t="e">
        <f>_xlfn.XLOOKUP(C99,[1]!tblRestaurants[RestaurantID],[1]!tblRestaurants[RestaurantName],"Not Listed")</f>
        <v>#REF!</v>
      </c>
      <c r="K99" s="7" t="e">
        <f>INDEX([1]!tblRestaurants[Zone],MATCH(C99,[1]!tblRestaurants[RestaurantID],0))</f>
        <v>#REF!</v>
      </c>
    </row>
    <row r="100" spans="1:11" x14ac:dyDescent="0.3">
      <c r="A100" s="7" t="s">
        <v>190</v>
      </c>
      <c r="B100" s="7" t="s">
        <v>103</v>
      </c>
      <c r="C100" s="7" t="s">
        <v>64</v>
      </c>
      <c r="D100" s="7" t="s">
        <v>24</v>
      </c>
      <c r="E100" s="9">
        <v>46023</v>
      </c>
      <c r="F100" s="10">
        <v>20</v>
      </c>
      <c r="G100" s="10">
        <v>4</v>
      </c>
      <c r="H100" s="7">
        <v>776</v>
      </c>
      <c r="I100" s="7" t="s">
        <v>13</v>
      </c>
      <c r="J100" s="7" t="e">
        <f>_xlfn.XLOOKUP(C100,[1]!tblRestaurants[RestaurantID],[1]!tblRestaurants[RestaurantName],"Not Listed")</f>
        <v>#REF!</v>
      </c>
      <c r="K100" s="7" t="e">
        <f>INDEX([1]!tblRestaurants[Zone],MATCH(C100,[1]!tblRestaurants[RestaurantID],0))</f>
        <v>#REF!</v>
      </c>
    </row>
    <row r="101" spans="1:11" x14ac:dyDescent="0.3">
      <c r="A101" s="7" t="s">
        <v>191</v>
      </c>
      <c r="B101" s="7" t="s">
        <v>145</v>
      </c>
      <c r="C101" s="7" t="s">
        <v>69</v>
      </c>
      <c r="D101" s="7" t="s">
        <v>20</v>
      </c>
      <c r="E101" s="9">
        <v>46032</v>
      </c>
      <c r="F101" s="10">
        <v>49</v>
      </c>
      <c r="G101" s="10">
        <v>2</v>
      </c>
      <c r="H101" s="7">
        <v>721</v>
      </c>
      <c r="I101" s="7" t="s">
        <v>35</v>
      </c>
      <c r="J101" s="7" t="e">
        <f>_xlfn.XLOOKUP(C101,[1]!tblRestaurants[RestaurantID],[1]!tblRestaurants[RestaurantName],"Not Listed")</f>
        <v>#REF!</v>
      </c>
      <c r="K101" s="7" t="e">
        <f>INDEX([1]!tblRestaurants[Zone],MATCH(C101,[1]!tblRestaurants[RestaurantID],0))</f>
        <v>#REF!</v>
      </c>
    </row>
    <row r="102" spans="1:11" x14ac:dyDescent="0.3">
      <c r="A102" s="7" t="s">
        <v>192</v>
      </c>
      <c r="B102" s="7" t="s">
        <v>193</v>
      </c>
      <c r="C102" s="7" t="s">
        <v>40</v>
      </c>
      <c r="D102" s="7" t="s">
        <v>20</v>
      </c>
      <c r="E102" s="9">
        <v>46037</v>
      </c>
      <c r="F102" s="10">
        <v>18</v>
      </c>
      <c r="G102" s="10">
        <v>3</v>
      </c>
      <c r="H102" s="7">
        <v>471</v>
      </c>
      <c r="I102" s="7" t="s">
        <v>13</v>
      </c>
      <c r="J102" s="7" t="e">
        <f>_xlfn.XLOOKUP(C102,[1]!tblRestaurants[RestaurantID],[1]!tblRestaurants[RestaurantName],"Not Listed")</f>
        <v>#REF!</v>
      </c>
      <c r="K102" s="7" t="e">
        <f>INDEX([1]!tblRestaurants[Zone],MATCH(C102,[1]!tblRestaurants[RestaurantID],0))</f>
        <v>#REF!</v>
      </c>
    </row>
    <row r="103" spans="1:11" x14ac:dyDescent="0.3">
      <c r="A103" s="7" t="s">
        <v>194</v>
      </c>
      <c r="B103" s="7" t="s">
        <v>195</v>
      </c>
      <c r="C103" s="7" t="s">
        <v>69</v>
      </c>
      <c r="D103" s="7" t="s">
        <v>46</v>
      </c>
      <c r="E103" s="9">
        <v>46095</v>
      </c>
      <c r="F103" s="10">
        <v>32</v>
      </c>
      <c r="G103" s="10">
        <v>3</v>
      </c>
      <c r="H103" s="7">
        <v>1079</v>
      </c>
      <c r="I103" s="7" t="s">
        <v>13</v>
      </c>
      <c r="J103" s="7" t="e">
        <f>_xlfn.XLOOKUP(C103,[1]!tblRestaurants[RestaurantID],[1]!tblRestaurants[RestaurantName],"Not Listed")</f>
        <v>#REF!</v>
      </c>
      <c r="K103" s="7" t="e">
        <f>INDEX([1]!tblRestaurants[Zone],MATCH(C103,[1]!tblRestaurants[RestaurantID],0))</f>
        <v>#REF!</v>
      </c>
    </row>
    <row r="104" spans="1:11" x14ac:dyDescent="0.3">
      <c r="A104" s="7" t="s">
        <v>196</v>
      </c>
      <c r="B104" s="7" t="s">
        <v>164</v>
      </c>
      <c r="C104" s="7" t="s">
        <v>38</v>
      </c>
      <c r="D104" s="7" t="s">
        <v>12</v>
      </c>
      <c r="E104" s="9">
        <v>46087</v>
      </c>
      <c r="F104" s="10">
        <v>23</v>
      </c>
      <c r="G104" s="10">
        <v>5</v>
      </c>
      <c r="H104" s="7">
        <v>261</v>
      </c>
      <c r="I104" s="7" t="s">
        <v>25</v>
      </c>
      <c r="J104" s="7" t="e">
        <f>_xlfn.XLOOKUP(C104,[1]!tblRestaurants[RestaurantID],[1]!tblRestaurants[RestaurantName],"Not Listed")</f>
        <v>#REF!</v>
      </c>
      <c r="K104" s="7" t="e">
        <f>INDEX([1]!tblRestaurants[Zone],MATCH(C104,[1]!tblRestaurants[RestaurantID],0))</f>
        <v>#REF!</v>
      </c>
    </row>
    <row r="105" spans="1:11" x14ac:dyDescent="0.3">
      <c r="A105" s="7" t="s">
        <v>197</v>
      </c>
      <c r="B105" s="7" t="s">
        <v>198</v>
      </c>
      <c r="C105" s="7" t="s">
        <v>31</v>
      </c>
      <c r="D105" s="7" t="s">
        <v>12</v>
      </c>
      <c r="E105" s="9">
        <v>46026</v>
      </c>
      <c r="F105" s="10">
        <v>34</v>
      </c>
      <c r="G105" s="10">
        <v>1</v>
      </c>
      <c r="H105" s="7">
        <v>648</v>
      </c>
      <c r="I105" s="7" t="s">
        <v>25</v>
      </c>
      <c r="J105" s="7" t="e">
        <f>_xlfn.XLOOKUP(C105,[1]!tblRestaurants[RestaurantID],[1]!tblRestaurants[RestaurantName],"Not Listed")</f>
        <v>#REF!</v>
      </c>
      <c r="K105" s="7" t="e">
        <f>INDEX([1]!tblRestaurants[Zone],MATCH(C105,[1]!tblRestaurants[RestaurantID],0))</f>
        <v>#REF!</v>
      </c>
    </row>
    <row r="106" spans="1:11" x14ac:dyDescent="0.3">
      <c r="A106" s="7" t="s">
        <v>199</v>
      </c>
      <c r="B106" s="7" t="s">
        <v>185</v>
      </c>
      <c r="C106" s="7" t="s">
        <v>95</v>
      </c>
      <c r="D106" s="7" t="s">
        <v>49</v>
      </c>
      <c r="E106" s="9">
        <v>46109</v>
      </c>
      <c r="F106" s="10">
        <v>45</v>
      </c>
      <c r="G106" s="10">
        <v>2</v>
      </c>
      <c r="H106" s="7">
        <v>1143</v>
      </c>
      <c r="I106" s="7" t="s">
        <v>13</v>
      </c>
      <c r="J106" s="7" t="e">
        <f>_xlfn.XLOOKUP(C106,[1]!tblRestaurants[RestaurantID],[1]!tblRestaurants[RestaurantName],"Not Listed")</f>
        <v>#REF!</v>
      </c>
      <c r="K106" s="7" t="e">
        <f>INDEX([1]!tblRestaurants[Zone],MATCH(C106,[1]!tblRestaurants[RestaurantID],0))</f>
        <v>#REF!</v>
      </c>
    </row>
    <row r="107" spans="1:11" x14ac:dyDescent="0.3">
      <c r="A107" s="7" t="s">
        <v>200</v>
      </c>
      <c r="B107" s="7" t="s">
        <v>101</v>
      </c>
      <c r="C107" s="7" t="s">
        <v>28</v>
      </c>
      <c r="D107" s="7" t="s">
        <v>24</v>
      </c>
      <c r="E107" s="9">
        <v>46097</v>
      </c>
      <c r="F107" s="10">
        <v>21</v>
      </c>
      <c r="G107" s="10">
        <v>4</v>
      </c>
      <c r="H107" s="7">
        <v>1480</v>
      </c>
      <c r="I107" s="7" t="s">
        <v>35</v>
      </c>
      <c r="J107" s="7" t="e">
        <f>_xlfn.XLOOKUP(C107,[1]!tblRestaurants[RestaurantID],[1]!tblRestaurants[RestaurantName],"Not Listed")</f>
        <v>#REF!</v>
      </c>
      <c r="K107" s="7" t="e">
        <f>INDEX([1]!tblRestaurants[Zone],MATCH(C107,[1]!tblRestaurants[RestaurantID],0))</f>
        <v>#REF!</v>
      </c>
    </row>
    <row r="108" spans="1:11" x14ac:dyDescent="0.3">
      <c r="A108" s="7" t="s">
        <v>201</v>
      </c>
      <c r="B108" s="7" t="s">
        <v>202</v>
      </c>
      <c r="C108" s="7" t="s">
        <v>67</v>
      </c>
      <c r="D108" s="7" t="s">
        <v>12</v>
      </c>
      <c r="E108" s="9">
        <v>46075</v>
      </c>
      <c r="F108" s="10">
        <v>27</v>
      </c>
      <c r="G108" s="10">
        <v>2</v>
      </c>
      <c r="H108" s="7">
        <v>855</v>
      </c>
      <c r="I108" s="7" t="s">
        <v>13</v>
      </c>
      <c r="J108" s="7" t="e">
        <f>_xlfn.XLOOKUP(C108,[1]!tblRestaurants[RestaurantID],[1]!tblRestaurants[RestaurantName],"Not Listed")</f>
        <v>#REF!</v>
      </c>
      <c r="K108" s="7" t="e">
        <f>INDEX([1]!tblRestaurants[Zone],MATCH(C108,[1]!tblRestaurants[RestaurantID],0))</f>
        <v>#REF!</v>
      </c>
    </row>
    <row r="109" spans="1:11" x14ac:dyDescent="0.3">
      <c r="A109" s="7" t="s">
        <v>203</v>
      </c>
      <c r="B109" s="7" t="s">
        <v>171</v>
      </c>
      <c r="C109" s="7" t="s">
        <v>69</v>
      </c>
      <c r="D109" s="7" t="s">
        <v>20</v>
      </c>
      <c r="E109" s="9">
        <v>46093</v>
      </c>
      <c r="F109" s="10">
        <v>56</v>
      </c>
      <c r="G109" s="10">
        <v>1</v>
      </c>
      <c r="H109" s="7">
        <v>1111</v>
      </c>
      <c r="I109" s="7" t="s">
        <v>13</v>
      </c>
      <c r="J109" s="7" t="e">
        <f>_xlfn.XLOOKUP(C109,[1]!tblRestaurants[RestaurantID],[1]!tblRestaurants[RestaurantName],"Not Listed")</f>
        <v>#REF!</v>
      </c>
      <c r="K109" s="7" t="e">
        <f>INDEX([1]!tblRestaurants[Zone],MATCH(C109,[1]!tblRestaurants[RestaurantID],0))</f>
        <v>#REF!</v>
      </c>
    </row>
    <row r="110" spans="1:11" x14ac:dyDescent="0.3">
      <c r="A110" s="7" t="s">
        <v>204</v>
      </c>
      <c r="B110" s="7" t="s">
        <v>205</v>
      </c>
      <c r="C110" s="7" t="s">
        <v>61</v>
      </c>
      <c r="D110" s="7" t="s">
        <v>49</v>
      </c>
      <c r="E110" s="9">
        <v>46074</v>
      </c>
      <c r="F110" s="10">
        <v>55</v>
      </c>
      <c r="G110" s="10">
        <v>1</v>
      </c>
      <c r="H110" s="7">
        <v>1291</v>
      </c>
      <c r="I110" s="7" t="s">
        <v>13</v>
      </c>
      <c r="J110" s="7" t="e">
        <f>_xlfn.XLOOKUP(C110,[1]!tblRestaurants[RestaurantID],[1]!tblRestaurants[RestaurantName],"Not Listed")</f>
        <v>#REF!</v>
      </c>
      <c r="K110" s="7" t="e">
        <f>INDEX([1]!tblRestaurants[Zone],MATCH(C110,[1]!tblRestaurants[RestaurantID],0))</f>
        <v>#REF!</v>
      </c>
    </row>
    <row r="111" spans="1:11" x14ac:dyDescent="0.3">
      <c r="A111" s="7" t="s">
        <v>206</v>
      </c>
      <c r="B111" s="7" t="s">
        <v>107</v>
      </c>
      <c r="C111" s="7" t="s">
        <v>40</v>
      </c>
      <c r="D111" s="7" t="s">
        <v>46</v>
      </c>
      <c r="E111" s="9">
        <v>46069</v>
      </c>
      <c r="F111" s="10">
        <v>18</v>
      </c>
      <c r="G111" s="10">
        <v>5</v>
      </c>
      <c r="H111" s="7">
        <v>1200</v>
      </c>
      <c r="I111" s="7" t="s">
        <v>13</v>
      </c>
      <c r="J111" s="7" t="e">
        <f>_xlfn.XLOOKUP(C111,[1]!tblRestaurants[RestaurantID],[1]!tblRestaurants[RestaurantName],"Not Listed")</f>
        <v>#REF!</v>
      </c>
      <c r="K111" s="7" t="e">
        <f>INDEX([1]!tblRestaurants[Zone],MATCH(C111,[1]!tblRestaurants[RestaurantID],0))</f>
        <v>#REF!</v>
      </c>
    </row>
    <row r="112" spans="1:11" x14ac:dyDescent="0.3">
      <c r="A112" s="7" t="s">
        <v>207</v>
      </c>
      <c r="B112" s="7" t="s">
        <v>107</v>
      </c>
      <c r="C112" s="7" t="s">
        <v>40</v>
      </c>
      <c r="D112" s="7" t="s">
        <v>12</v>
      </c>
      <c r="E112" s="9">
        <v>46093</v>
      </c>
      <c r="F112" s="10">
        <v>45</v>
      </c>
      <c r="G112" s="10">
        <v>4</v>
      </c>
      <c r="H112" s="7">
        <v>428</v>
      </c>
      <c r="I112" s="7" t="s">
        <v>13</v>
      </c>
      <c r="J112" s="7" t="e">
        <f>_xlfn.XLOOKUP(C112,[1]!tblRestaurants[RestaurantID],[1]!tblRestaurants[RestaurantName],"Not Listed")</f>
        <v>#REF!</v>
      </c>
      <c r="K112" s="7" t="e">
        <f>INDEX([1]!tblRestaurants[Zone],MATCH(C112,[1]!tblRestaurants[RestaurantID],0))</f>
        <v>#REF!</v>
      </c>
    </row>
    <row r="113" spans="1:11" x14ac:dyDescent="0.3">
      <c r="A113" s="7" t="s">
        <v>208</v>
      </c>
      <c r="B113" s="7" t="s">
        <v>105</v>
      </c>
      <c r="C113" s="7" t="s">
        <v>97</v>
      </c>
      <c r="D113" s="7" t="s">
        <v>24</v>
      </c>
      <c r="E113" s="9">
        <v>46062</v>
      </c>
      <c r="F113" s="10">
        <v>46</v>
      </c>
      <c r="G113" s="10">
        <v>5</v>
      </c>
      <c r="H113" s="7">
        <v>208</v>
      </c>
      <c r="I113" s="7" t="s">
        <v>13</v>
      </c>
      <c r="J113" s="7" t="e">
        <f>_xlfn.XLOOKUP(C113,[1]!tblRestaurants[RestaurantID],[1]!tblRestaurants[RestaurantName],"Not Listed")</f>
        <v>#REF!</v>
      </c>
      <c r="K113" s="7" t="e">
        <f>INDEX([1]!tblRestaurants[Zone],MATCH(C113,[1]!tblRestaurants[RestaurantID],0))</f>
        <v>#REF!</v>
      </c>
    </row>
    <row r="114" spans="1:11" x14ac:dyDescent="0.3">
      <c r="A114" s="7" t="s">
        <v>209</v>
      </c>
      <c r="B114" s="7" t="s">
        <v>202</v>
      </c>
      <c r="C114" s="7" t="s">
        <v>97</v>
      </c>
      <c r="D114" s="7" t="s">
        <v>49</v>
      </c>
      <c r="E114" s="9">
        <v>46082</v>
      </c>
      <c r="F114" s="10">
        <v>57</v>
      </c>
      <c r="G114" s="10">
        <v>2</v>
      </c>
      <c r="H114" s="7">
        <v>1200</v>
      </c>
      <c r="I114" s="7" t="s">
        <v>25</v>
      </c>
      <c r="J114" s="7" t="e">
        <f>_xlfn.XLOOKUP(C114,[1]!tblRestaurants[RestaurantID],[1]!tblRestaurants[RestaurantName],"Not Listed")</f>
        <v>#REF!</v>
      </c>
      <c r="K114" s="7" t="e">
        <f>INDEX([1]!tblRestaurants[Zone],MATCH(C114,[1]!tblRestaurants[RestaurantID],0))</f>
        <v>#REF!</v>
      </c>
    </row>
    <row r="115" spans="1:11" x14ac:dyDescent="0.3">
      <c r="A115" s="7" t="s">
        <v>210</v>
      </c>
      <c r="B115" s="7" t="s">
        <v>211</v>
      </c>
      <c r="C115" s="7" t="s">
        <v>56</v>
      </c>
      <c r="D115" s="7" t="s">
        <v>12</v>
      </c>
      <c r="E115" s="9">
        <v>46076</v>
      </c>
      <c r="F115" s="10">
        <v>31</v>
      </c>
      <c r="G115" s="10">
        <v>4</v>
      </c>
      <c r="H115" s="7">
        <v>1147</v>
      </c>
      <c r="I115" s="7" t="s">
        <v>13</v>
      </c>
      <c r="J115" s="7" t="e">
        <f>_xlfn.XLOOKUP(C115,[1]!tblRestaurants[RestaurantID],[1]!tblRestaurants[RestaurantName],"Not Listed")</f>
        <v>#REF!</v>
      </c>
      <c r="K115" s="7" t="e">
        <f>INDEX([1]!tblRestaurants[Zone],MATCH(C115,[1]!tblRestaurants[RestaurantID],0))</f>
        <v>#REF!</v>
      </c>
    </row>
    <row r="116" spans="1:11" x14ac:dyDescent="0.3">
      <c r="A116" s="7" t="s">
        <v>212</v>
      </c>
      <c r="B116" s="7" t="s">
        <v>103</v>
      </c>
      <c r="C116" s="7" t="s">
        <v>45</v>
      </c>
      <c r="D116" s="7" t="s">
        <v>20</v>
      </c>
      <c r="E116" s="9">
        <v>46047</v>
      </c>
      <c r="F116" s="10">
        <v>52</v>
      </c>
      <c r="G116" s="10">
        <v>2</v>
      </c>
      <c r="H116" s="7">
        <v>322</v>
      </c>
      <c r="I116" s="7" t="s">
        <v>13</v>
      </c>
      <c r="J116" s="7" t="e">
        <f>_xlfn.XLOOKUP(C116,[1]!tblRestaurants[RestaurantID],[1]!tblRestaurants[RestaurantName],"Not Listed")</f>
        <v>#REF!</v>
      </c>
      <c r="K116" s="7" t="e">
        <f>INDEX([1]!tblRestaurants[Zone],MATCH(C116,[1]!tblRestaurants[RestaurantID],0))</f>
        <v>#REF!</v>
      </c>
    </row>
    <row r="117" spans="1:11" x14ac:dyDescent="0.3">
      <c r="A117" s="7" t="s">
        <v>213</v>
      </c>
      <c r="B117" s="7" t="s">
        <v>131</v>
      </c>
      <c r="C117" s="7" t="s">
        <v>61</v>
      </c>
      <c r="D117" s="7" t="s">
        <v>46</v>
      </c>
      <c r="E117" s="9">
        <v>46057</v>
      </c>
      <c r="F117" s="10">
        <v>30</v>
      </c>
      <c r="G117" s="10">
        <v>1</v>
      </c>
      <c r="H117" s="7">
        <v>759</v>
      </c>
      <c r="I117" s="7" t="s">
        <v>13</v>
      </c>
      <c r="J117" s="7" t="e">
        <f>_xlfn.XLOOKUP(C117,[1]!tblRestaurants[RestaurantID],[1]!tblRestaurants[RestaurantName],"Not Listed")</f>
        <v>#REF!</v>
      </c>
      <c r="K117" s="7" t="e">
        <f>INDEX([1]!tblRestaurants[Zone],MATCH(C117,[1]!tblRestaurants[RestaurantID],0))</f>
        <v>#REF!</v>
      </c>
    </row>
    <row r="118" spans="1:11" x14ac:dyDescent="0.3">
      <c r="A118" s="7" t="s">
        <v>214</v>
      </c>
      <c r="B118" s="7" t="s">
        <v>193</v>
      </c>
      <c r="C118" s="7" t="s">
        <v>95</v>
      </c>
      <c r="D118" s="7" t="s">
        <v>20</v>
      </c>
      <c r="E118" s="9">
        <v>46042</v>
      </c>
      <c r="F118" s="10">
        <v>22</v>
      </c>
      <c r="G118" s="10">
        <v>3</v>
      </c>
      <c r="H118" s="7">
        <v>1310</v>
      </c>
      <c r="I118" s="7" t="s">
        <v>35</v>
      </c>
      <c r="J118" s="7" t="e">
        <f>_xlfn.XLOOKUP(C118,[1]!tblRestaurants[RestaurantID],[1]!tblRestaurants[RestaurantName],"Not Listed")</f>
        <v>#REF!</v>
      </c>
      <c r="K118" s="7" t="e">
        <f>INDEX([1]!tblRestaurants[Zone],MATCH(C118,[1]!tblRestaurants[RestaurantID],0))</f>
        <v>#REF!</v>
      </c>
    </row>
    <row r="119" spans="1:11" x14ac:dyDescent="0.3">
      <c r="A119" s="7" t="s">
        <v>215</v>
      </c>
      <c r="B119" s="7" t="s">
        <v>27</v>
      </c>
      <c r="C119" s="7" t="s">
        <v>109</v>
      </c>
      <c r="D119" s="7" t="s">
        <v>12</v>
      </c>
      <c r="E119" s="9">
        <v>46047</v>
      </c>
      <c r="F119" s="10">
        <v>43</v>
      </c>
      <c r="G119" s="10">
        <v>2</v>
      </c>
      <c r="H119" s="7">
        <v>1351</v>
      </c>
      <c r="I119" s="7" t="s">
        <v>13</v>
      </c>
      <c r="J119" s="7" t="e">
        <f>_xlfn.XLOOKUP(C119,[1]!tblRestaurants[RestaurantID],[1]!tblRestaurants[RestaurantName],"Not Listed")</f>
        <v>#REF!</v>
      </c>
      <c r="K119" s="7" t="e">
        <f>INDEX([1]!tblRestaurants[Zone],MATCH(C119,[1]!tblRestaurants[RestaurantID],0))</f>
        <v>#REF!</v>
      </c>
    </row>
    <row r="120" spans="1:11" x14ac:dyDescent="0.3">
      <c r="A120" s="7" t="s">
        <v>216</v>
      </c>
      <c r="B120" s="7" t="s">
        <v>129</v>
      </c>
      <c r="C120" s="7" t="s">
        <v>23</v>
      </c>
      <c r="D120" s="7" t="s">
        <v>12</v>
      </c>
      <c r="E120" s="9">
        <v>46083</v>
      </c>
      <c r="F120" s="10">
        <v>30</v>
      </c>
      <c r="G120" s="10">
        <v>4</v>
      </c>
      <c r="H120" s="7">
        <v>491</v>
      </c>
      <c r="I120" s="7" t="s">
        <v>13</v>
      </c>
      <c r="J120" s="7" t="e">
        <f>_xlfn.XLOOKUP(C120,[1]!tblRestaurants[RestaurantID],[1]!tblRestaurants[RestaurantName],"Not Listed")</f>
        <v>#REF!</v>
      </c>
      <c r="K120" s="7" t="e">
        <f>INDEX([1]!tblRestaurants[Zone],MATCH(C120,[1]!tblRestaurants[RestaurantID],0))</f>
        <v>#REF!</v>
      </c>
    </row>
    <row r="121" spans="1:11" x14ac:dyDescent="0.3">
      <c r="A121" s="7" t="s">
        <v>217</v>
      </c>
      <c r="B121" s="7" t="s">
        <v>218</v>
      </c>
      <c r="C121" s="7" t="s">
        <v>45</v>
      </c>
      <c r="D121" s="7" t="s">
        <v>46</v>
      </c>
      <c r="E121" s="9">
        <v>46098</v>
      </c>
      <c r="F121" s="10">
        <v>13</v>
      </c>
      <c r="G121" s="10">
        <v>3</v>
      </c>
      <c r="H121" s="7">
        <v>385</v>
      </c>
      <c r="I121" s="7" t="s">
        <v>25</v>
      </c>
      <c r="J121" s="7" t="e">
        <f>_xlfn.XLOOKUP(C121,[1]!tblRestaurants[RestaurantID],[1]!tblRestaurants[RestaurantName],"Not Listed")</f>
        <v>#REF!</v>
      </c>
      <c r="K121" s="7" t="e">
        <f>INDEX([1]!tblRestaurants[Zone],MATCH(C121,[1]!tblRestaurants[RestaurantID],0))</f>
        <v>#REF!</v>
      </c>
    </row>
  </sheetData>
  <mergeCells count="1">
    <mergeCell ref="N1:Q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7562-F518-412A-817C-30D8657EA1F1}">
  <dimension ref="A1:D23"/>
  <sheetViews>
    <sheetView workbookViewId="0">
      <selection activeCell="F2" sqref="F2"/>
    </sheetView>
  </sheetViews>
  <sheetFormatPr defaultRowHeight="14.4" x14ac:dyDescent="0.3"/>
  <cols>
    <col min="1" max="1" width="13.6640625" customWidth="1"/>
    <col min="2" max="2" width="19" customWidth="1"/>
    <col min="4" max="4" width="13.109375" customWidth="1"/>
  </cols>
  <sheetData>
    <row r="1" spans="1:4" ht="17.399999999999999" x14ac:dyDescent="0.3">
      <c r="A1" s="11" t="s">
        <v>221</v>
      </c>
    </row>
    <row r="3" spans="1:4" x14ac:dyDescent="0.3">
      <c r="A3" s="6" t="s">
        <v>2</v>
      </c>
      <c r="B3" s="6" t="s">
        <v>222</v>
      </c>
      <c r="C3" s="6" t="s">
        <v>223</v>
      </c>
      <c r="D3" s="6" t="s">
        <v>224</v>
      </c>
    </row>
    <row r="4" spans="1:4" x14ac:dyDescent="0.3">
      <c r="A4" s="7" t="s">
        <v>84</v>
      </c>
      <c r="B4" s="7" t="s">
        <v>225</v>
      </c>
      <c r="C4" s="7" t="s">
        <v>226</v>
      </c>
      <c r="D4" s="7" t="s">
        <v>227</v>
      </c>
    </row>
    <row r="5" spans="1:4" x14ac:dyDescent="0.3">
      <c r="A5" s="7" t="s">
        <v>23</v>
      </c>
      <c r="B5" s="7" t="s">
        <v>228</v>
      </c>
      <c r="C5" s="7" t="s">
        <v>229</v>
      </c>
      <c r="D5" s="7" t="s">
        <v>230</v>
      </c>
    </row>
    <row r="6" spans="1:4" x14ac:dyDescent="0.3">
      <c r="A6" s="7" t="s">
        <v>64</v>
      </c>
      <c r="B6" s="7" t="s">
        <v>231</v>
      </c>
      <c r="C6" s="7" t="s">
        <v>232</v>
      </c>
      <c r="D6" s="7" t="s">
        <v>233</v>
      </c>
    </row>
    <row r="7" spans="1:4" x14ac:dyDescent="0.3">
      <c r="A7" s="7" t="s">
        <v>19</v>
      </c>
      <c r="B7" s="7" t="s">
        <v>234</v>
      </c>
      <c r="C7" s="7" t="s">
        <v>235</v>
      </c>
      <c r="D7" s="7" t="s">
        <v>227</v>
      </c>
    </row>
    <row r="8" spans="1:4" x14ac:dyDescent="0.3">
      <c r="A8" s="7" t="s">
        <v>45</v>
      </c>
      <c r="B8" s="7" t="s">
        <v>236</v>
      </c>
      <c r="C8" s="7" t="s">
        <v>237</v>
      </c>
      <c r="D8" s="7" t="s">
        <v>230</v>
      </c>
    </row>
    <row r="9" spans="1:4" x14ac:dyDescent="0.3">
      <c r="A9" s="7" t="s">
        <v>81</v>
      </c>
      <c r="B9" s="7" t="s">
        <v>238</v>
      </c>
      <c r="C9" s="7" t="s">
        <v>226</v>
      </c>
      <c r="D9" s="7" t="s">
        <v>233</v>
      </c>
    </row>
    <row r="10" spans="1:4" x14ac:dyDescent="0.3">
      <c r="A10" s="7" t="s">
        <v>40</v>
      </c>
      <c r="B10" s="7" t="s">
        <v>239</v>
      </c>
      <c r="C10" s="7" t="s">
        <v>229</v>
      </c>
      <c r="D10" s="7" t="s">
        <v>227</v>
      </c>
    </row>
    <row r="11" spans="1:4" x14ac:dyDescent="0.3">
      <c r="A11" s="7" t="s">
        <v>97</v>
      </c>
      <c r="B11" s="7" t="s">
        <v>240</v>
      </c>
      <c r="C11" s="7" t="s">
        <v>232</v>
      </c>
      <c r="D11" s="7" t="s">
        <v>230</v>
      </c>
    </row>
    <row r="12" spans="1:4" x14ac:dyDescent="0.3">
      <c r="A12" s="7" t="s">
        <v>28</v>
      </c>
      <c r="B12" s="7" t="s">
        <v>241</v>
      </c>
      <c r="C12" s="7" t="s">
        <v>235</v>
      </c>
      <c r="D12" s="7" t="s">
        <v>233</v>
      </c>
    </row>
    <row r="13" spans="1:4" x14ac:dyDescent="0.3">
      <c r="A13" s="7" t="s">
        <v>69</v>
      </c>
      <c r="B13" s="7" t="s">
        <v>242</v>
      </c>
      <c r="C13" s="7" t="s">
        <v>237</v>
      </c>
      <c r="D13" s="7" t="s">
        <v>227</v>
      </c>
    </row>
    <row r="14" spans="1:4" x14ac:dyDescent="0.3">
      <c r="A14" s="7" t="s">
        <v>61</v>
      </c>
      <c r="B14" s="7" t="s">
        <v>243</v>
      </c>
      <c r="C14" s="7" t="s">
        <v>226</v>
      </c>
      <c r="D14" s="7" t="s">
        <v>230</v>
      </c>
    </row>
    <row r="15" spans="1:4" x14ac:dyDescent="0.3">
      <c r="A15" s="7" t="s">
        <v>16</v>
      </c>
      <c r="B15" s="7" t="s">
        <v>244</v>
      </c>
      <c r="C15" s="7" t="s">
        <v>229</v>
      </c>
      <c r="D15" s="7" t="s">
        <v>233</v>
      </c>
    </row>
    <row r="16" spans="1:4" x14ac:dyDescent="0.3">
      <c r="A16" s="7" t="s">
        <v>38</v>
      </c>
      <c r="B16" s="7" t="s">
        <v>245</v>
      </c>
      <c r="C16" s="7" t="s">
        <v>232</v>
      </c>
      <c r="D16" s="7" t="s">
        <v>227</v>
      </c>
    </row>
    <row r="17" spans="1:4" x14ac:dyDescent="0.3">
      <c r="A17" s="7" t="s">
        <v>11</v>
      </c>
      <c r="B17" s="7" t="s">
        <v>246</v>
      </c>
      <c r="C17" s="7" t="s">
        <v>235</v>
      </c>
      <c r="D17" s="7" t="s">
        <v>230</v>
      </c>
    </row>
    <row r="18" spans="1:4" x14ac:dyDescent="0.3">
      <c r="A18" s="7" t="s">
        <v>109</v>
      </c>
      <c r="B18" s="7" t="s">
        <v>247</v>
      </c>
      <c r="C18" s="7" t="s">
        <v>237</v>
      </c>
      <c r="D18" s="7" t="s">
        <v>233</v>
      </c>
    </row>
    <row r="19" spans="1:4" x14ac:dyDescent="0.3">
      <c r="A19" s="7" t="s">
        <v>67</v>
      </c>
      <c r="B19" s="7" t="s">
        <v>248</v>
      </c>
      <c r="C19" s="7" t="s">
        <v>226</v>
      </c>
      <c r="D19" s="7" t="s">
        <v>227</v>
      </c>
    </row>
    <row r="20" spans="1:4" x14ac:dyDescent="0.3">
      <c r="A20" s="7" t="s">
        <v>56</v>
      </c>
      <c r="B20" s="7" t="s">
        <v>249</v>
      </c>
      <c r="C20" s="7" t="s">
        <v>229</v>
      </c>
      <c r="D20" s="7" t="s">
        <v>230</v>
      </c>
    </row>
    <row r="21" spans="1:4" x14ac:dyDescent="0.3">
      <c r="A21" s="7" t="s">
        <v>34</v>
      </c>
      <c r="B21" s="7" t="s">
        <v>250</v>
      </c>
      <c r="C21" s="7" t="s">
        <v>232</v>
      </c>
      <c r="D21" s="7" t="s">
        <v>233</v>
      </c>
    </row>
    <row r="22" spans="1:4" x14ac:dyDescent="0.3">
      <c r="A22" s="7" t="s">
        <v>95</v>
      </c>
      <c r="B22" s="7" t="s">
        <v>251</v>
      </c>
      <c r="C22" s="7" t="s">
        <v>235</v>
      </c>
      <c r="D22" s="7" t="s">
        <v>227</v>
      </c>
    </row>
    <row r="23" spans="1:4" x14ac:dyDescent="0.3">
      <c r="A23" s="7" t="s">
        <v>31</v>
      </c>
      <c r="B23" s="7" t="s">
        <v>252</v>
      </c>
      <c r="C23" s="7" t="s">
        <v>237</v>
      </c>
      <c r="D23" s="7" t="s">
        <v>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F03C-621B-4EDB-BB8B-E5DDA512A35B}">
  <dimension ref="A1:O8"/>
  <sheetViews>
    <sheetView workbookViewId="0">
      <selection activeCell="J16" sqref="J16"/>
    </sheetView>
  </sheetViews>
  <sheetFormatPr defaultRowHeight="14.4" x14ac:dyDescent="0.3"/>
  <cols>
    <col min="1" max="1" width="13.44140625" customWidth="1"/>
    <col min="2" max="2" width="10.33203125" customWidth="1"/>
    <col min="3" max="3" width="11" customWidth="1"/>
    <col min="4" max="4" width="10.88671875" customWidth="1"/>
    <col min="5" max="5" width="11" customWidth="1"/>
    <col min="6" max="6" width="10.33203125" customWidth="1"/>
    <col min="7" max="7" width="13.88671875" customWidth="1"/>
    <col min="9" max="9" width="15.77734375" customWidth="1"/>
    <col min="10" max="10" width="23.21875" customWidth="1"/>
    <col min="15" max="15" width="12.77734375" customWidth="1"/>
  </cols>
  <sheetData>
    <row r="1" spans="1:15" x14ac:dyDescent="0.3">
      <c r="A1" s="16" t="s">
        <v>256</v>
      </c>
      <c r="B1" s="15"/>
      <c r="C1" s="15"/>
      <c r="D1" s="15"/>
      <c r="E1" s="15"/>
      <c r="F1" s="15"/>
      <c r="G1" s="15"/>
      <c r="M1" s="12" t="s">
        <v>264</v>
      </c>
    </row>
    <row r="2" spans="1:15" x14ac:dyDescent="0.3">
      <c r="A2" s="6" t="s">
        <v>3</v>
      </c>
      <c r="B2" s="6" t="s">
        <v>226</v>
      </c>
      <c r="C2" s="6" t="s">
        <v>229</v>
      </c>
      <c r="D2" s="6" t="s">
        <v>232</v>
      </c>
      <c r="E2" s="6" t="s">
        <v>235</v>
      </c>
      <c r="F2" s="6" t="s">
        <v>237</v>
      </c>
      <c r="G2" s="6" t="s">
        <v>255</v>
      </c>
      <c r="I2" s="6" t="s">
        <v>265</v>
      </c>
      <c r="J2" s="6" t="s">
        <v>266</v>
      </c>
      <c r="K2" s="13"/>
      <c r="L2" s="13"/>
      <c r="M2" s="6" t="s">
        <v>257</v>
      </c>
      <c r="N2" s="6" t="s">
        <v>258</v>
      </c>
      <c r="O2" s="6" t="s">
        <v>259</v>
      </c>
    </row>
    <row r="3" spans="1:15" x14ac:dyDescent="0.3">
      <c r="A3" s="7" t="s">
        <v>24</v>
      </c>
      <c r="B3" s="13">
        <f ca="1">SUMIFS([1]Orders!$H$4:$H$123,[1]Orders!$D$4:$D$123,$A3,[1]Orders!$K$4:$K$123,B$7,[1]Orders!$I$4:$I$123,IF($C$4="All","*",$C$4))</f>
        <v>1531</v>
      </c>
      <c r="C3" s="13">
        <f ca="1">SUMIFS([1]Orders!$H$4:$H$123,[1]Orders!$D$4:$D$123,$A3,[1]Orders!$K$4:$K$123,C$7,[1]Orders!$I$4:$I$123,IF($C$4="All","*",$C$4))</f>
        <v>7317</v>
      </c>
      <c r="D3" s="13">
        <f ca="1">SUMIFS([1]Orders!$H$4:$H$123,[1]Orders!$D$4:$D$123,$A3,[1]Orders!$K$4:$K$123,D$7,[1]Orders!$I$4:$I$123,IF($C$4="All","*",$C$4))</f>
        <v>2754</v>
      </c>
      <c r="E3" s="13">
        <f ca="1">SUMIFS([1]Orders!$H$4:$H$123,[1]Orders!$D$4:$D$123,$A3,[1]Orders!$K$4:$K$123,E$7,[1]Orders!$I$4:$I$123,IF($C$4="All","*",$C$4))</f>
        <v>3667</v>
      </c>
      <c r="F3" s="13">
        <f ca="1">SUMIFS([1]Orders!$H$4:$H$123,[1]Orders!$D$4:$D$123,$A3,[1]Orders!$K$4:$K$123,F$7,[1]Orders!$I$4:$I$123,IF($C$4="All","*",$C$4))</f>
        <v>1720</v>
      </c>
      <c r="G3" s="13">
        <f ca="1">SUM(B3:F3)</f>
        <v>16989</v>
      </c>
      <c r="I3" s="7">
        <f ca="1">COUNTIFS([1]Orders!$D$4:$D$123,$A3,[1]Orders!$I$4:$I$123,IF($C$3="All","*",$C$3))</f>
        <v>21</v>
      </c>
      <c r="J3" s="13">
        <f ca="1">IF(I3=0,0,G3/I3)</f>
        <v>809</v>
      </c>
      <c r="K3" s="13"/>
      <c r="L3" s="13"/>
      <c r="M3" s="7" t="s">
        <v>260</v>
      </c>
      <c r="N3" s="7" t="s">
        <v>261</v>
      </c>
      <c r="O3" s="7">
        <f>SUMPRODUCT((TEXT([1]Orders!$E$4:$E$123,"YYYY-MM")=M3)*1)</f>
        <v>42</v>
      </c>
    </row>
    <row r="4" spans="1:15" x14ac:dyDescent="0.3">
      <c r="A4" s="7" t="s">
        <v>46</v>
      </c>
      <c r="B4" s="13">
        <f ca="1">SUMIFS([1]Orders!$H$4:$H$123,[1]Orders!$D$4:$D$123,$A4,[1]Orders!$K$4:$K$123,B$7,[1]Orders!$I$4:$I$123,IF($C$4="All","*",$C$4))</f>
        <v>5110</v>
      </c>
      <c r="C4" s="13">
        <f ca="1">SUMIFS([1]Orders!$H$4:$H$123,[1]Orders!$D$4:$D$123,$A4,[1]Orders!$K$4:$K$123,C$7,[1]Orders!$I$4:$I$123,IF($C$4="All","*",$C$4))</f>
        <v>1200</v>
      </c>
      <c r="D4" s="13">
        <f ca="1">SUMIFS([1]Orders!$H$4:$H$123,[1]Orders!$D$4:$D$123,$A4,[1]Orders!$K$4:$K$123,D$7,[1]Orders!$I$4:$I$123,IF($C$4="All","*",$C$4))</f>
        <v>1822</v>
      </c>
      <c r="E4" s="13">
        <f ca="1">SUMIFS([1]Orders!$H$4:$H$123,[1]Orders!$D$4:$D$123,$A4,[1]Orders!$K$4:$K$123,E$7,[1]Orders!$I$4:$I$123,IF($C$4="All","*",$C$4))</f>
        <v>6537</v>
      </c>
      <c r="F4" s="13">
        <f ca="1">SUMIFS([1]Orders!$H$4:$H$123,[1]Orders!$D$4:$D$123,$A4,[1]Orders!$K$4:$K$123,F$7,[1]Orders!$I$4:$I$123,IF($C$4="All","*",$C$4))</f>
        <v>3789</v>
      </c>
      <c r="G4" s="13">
        <f ca="1">SUM(B4:F4)</f>
        <v>18458</v>
      </c>
      <c r="I4" s="7">
        <f ca="1">COUNTIFS([1]Orders!$D$4:$D$123,$A4,[1]Orders!$I$4:$I$123,IF($C$3="All","*",$C$3))</f>
        <v>22</v>
      </c>
      <c r="J4" s="13">
        <f ca="1">IF(I4=0,0,G4/I4)</f>
        <v>839</v>
      </c>
      <c r="K4" s="13"/>
      <c r="L4" s="13"/>
      <c r="M4" s="7" t="s">
        <v>262</v>
      </c>
      <c r="N4" s="7" t="s">
        <v>261</v>
      </c>
      <c r="O4" s="7">
        <f>SUMPRODUCT((TEXT([1]Orders!$E$4:$E$123,"YYYY-MM")=M4)*1)</f>
        <v>32</v>
      </c>
    </row>
    <row r="5" spans="1:15" x14ac:dyDescent="0.3">
      <c r="A5" s="7" t="s">
        <v>49</v>
      </c>
      <c r="B5" s="13">
        <f ca="1">SUMIFS([1]Orders!$H$4:$H$123,[1]Orders!$D$4:$D$123,$A5,[1]Orders!$K$4:$K$123,B$7,[1]Orders!$I$4:$I$123,IF($C$4="All","*",$C$4))</f>
        <v>3180</v>
      </c>
      <c r="C5" s="13">
        <f ca="1">SUMIFS([1]Orders!$H$4:$H$123,[1]Orders!$D$4:$D$123,$A5,[1]Orders!$K$4:$K$123,C$7,[1]Orders!$I$4:$I$123,IF($C$4="All","*",$C$4))</f>
        <v>857</v>
      </c>
      <c r="D5" s="13">
        <f ca="1">SUMIFS([1]Orders!$H$4:$H$123,[1]Orders!$D$4:$D$123,$A5,[1]Orders!$K$4:$K$123,D$7,[1]Orders!$I$4:$I$123,IF($C$4="All","*",$C$4))</f>
        <v>7839</v>
      </c>
      <c r="E5" s="13">
        <f ca="1">SUMIFS([1]Orders!$H$4:$H$123,[1]Orders!$D$4:$D$123,$A5,[1]Orders!$K$4:$K$123,E$7,[1]Orders!$I$4:$I$123,IF($C$4="All","*",$C$4))</f>
        <v>1726</v>
      </c>
      <c r="F5" s="13">
        <f ca="1">SUMIFS([1]Orders!$H$4:$H$123,[1]Orders!$D$4:$D$123,$A5,[1]Orders!$K$4:$K$123,F$7,[1]Orders!$I$4:$I$123,IF($C$4="All","*",$C$4))</f>
        <v>4883</v>
      </c>
      <c r="G5" s="13">
        <f ca="1">SUM(B5:F5)</f>
        <v>18485</v>
      </c>
      <c r="I5" s="7">
        <f ca="1">COUNTIFS([1]Orders!$D$4:$D$123,$A5,[1]Orders!$I$4:$I$123,IF($C$3="All","*",$C$3))</f>
        <v>22</v>
      </c>
      <c r="J5" s="13">
        <f ca="1">IF(I5=0,0,G5/I5)</f>
        <v>840.22727272727275</v>
      </c>
      <c r="K5" s="17"/>
      <c r="L5" s="17"/>
      <c r="M5" s="7" t="s">
        <v>263</v>
      </c>
      <c r="N5" s="7" t="s">
        <v>261</v>
      </c>
      <c r="O5" s="7">
        <f>SUMPRODUCT((TEXT([1]Orders!$E$4:$E$123,"YYYY-MM")=M5)*1)</f>
        <v>46</v>
      </c>
    </row>
    <row r="6" spans="1:15" x14ac:dyDescent="0.3">
      <c r="A6" s="7" t="s">
        <v>12</v>
      </c>
      <c r="B6" s="13">
        <f ca="1">SUMIFS([1]Orders!$H$4:$H$123,[1]Orders!$D$4:$D$123,$A6,[1]Orders!$K$4:$K$123,B$7,[1]Orders!$I$4:$I$123,IF($C$4="All","*",$C$4))</f>
        <v>3836</v>
      </c>
      <c r="C6" s="13">
        <f ca="1">SUMIFS([1]Orders!$H$4:$H$123,[1]Orders!$D$4:$D$123,$A6,[1]Orders!$K$4:$K$123,C$7,[1]Orders!$I$4:$I$123,IF($C$4="All","*",$C$4))</f>
        <v>7628</v>
      </c>
      <c r="D6" s="13">
        <f ca="1">SUMIFS([1]Orders!$H$4:$H$123,[1]Orders!$D$4:$D$123,$A6,[1]Orders!$K$4:$K$123,D$7,[1]Orders!$I$4:$I$123,IF($C$4="All","*",$C$4))</f>
        <v>7228</v>
      </c>
      <c r="E6" s="13">
        <f ca="1">SUMIFS([1]Orders!$H$4:$H$123,[1]Orders!$D$4:$D$123,$A6,[1]Orders!$K$4:$K$123,E$7,[1]Orders!$I$4:$I$123,IF($C$4="All","*",$C$4))</f>
        <v>3779</v>
      </c>
      <c r="F6" s="13">
        <f ca="1">SUMIFS([1]Orders!$H$4:$H$123,[1]Orders!$D$4:$D$123,$A6,[1]Orders!$K$4:$K$123,F$7,[1]Orders!$I$4:$I$123,IF($C$4="All","*",$C$4))</f>
        <v>6402</v>
      </c>
      <c r="G6" s="13">
        <f ca="1">SUM(B6:F6)</f>
        <v>28873</v>
      </c>
      <c r="I6" s="7">
        <f ca="1">COUNTIFS([1]Orders!$D$4:$D$123,$A6,[1]Orders!$I$4:$I$123,IF($C$3="All","*",$C$3))</f>
        <v>32</v>
      </c>
      <c r="J6" s="13">
        <f ca="1">IF(I6=0,0,G6/I6)</f>
        <v>902.28125</v>
      </c>
      <c r="K6" s="17"/>
      <c r="L6" s="17"/>
    </row>
    <row r="7" spans="1:15" x14ac:dyDescent="0.3">
      <c r="A7" s="7" t="s">
        <v>20</v>
      </c>
      <c r="B7" s="13">
        <f ca="1">SUMIFS([1]Orders!$H$4:$H$123,[1]Orders!$D$4:$D$123,$A7,[1]Orders!$K$4:$K$123,B$7,[1]Orders!$I$4:$I$123,IF($C$4="All","*",$C$4))</f>
        <v>5816</v>
      </c>
      <c r="C7" s="13">
        <f ca="1">SUMIFS([1]Orders!$H$4:$H$123,[1]Orders!$D$4:$D$123,$A7,[1]Orders!$K$4:$K$123,C$7,[1]Orders!$I$4:$I$123,IF($C$4="All","*",$C$4))</f>
        <v>2959</v>
      </c>
      <c r="D7" s="13">
        <f ca="1">SUMIFS([1]Orders!$H$4:$H$123,[1]Orders!$D$4:$D$123,$A7,[1]Orders!$K$4:$K$123,D$7,[1]Orders!$I$4:$I$123,IF($C$4="All","*",$C$4))</f>
        <v>1484</v>
      </c>
      <c r="E7" s="13">
        <f ca="1">SUMIFS([1]Orders!$H$4:$H$123,[1]Orders!$D$4:$D$123,$A7,[1]Orders!$K$4:$K$123,E$7,[1]Orders!$I$4:$I$123,IF($C$4="All","*",$C$4))</f>
        <v>4429</v>
      </c>
      <c r="F7" s="13">
        <f ca="1">SUMIFS([1]Orders!$H$4:$H$123,[1]Orders!$D$4:$D$123,$A7,[1]Orders!$K$4:$K$123,F$7,[1]Orders!$I$4:$I$123,IF($C$4="All","*",$C$4))</f>
        <v>4672</v>
      </c>
      <c r="G7" s="13">
        <f ca="1">SUM(B7:F7)</f>
        <v>19360</v>
      </c>
      <c r="I7" s="7">
        <f ca="1">COUNTIFS([1]Orders!$D$4:$D$123,$A7,[1]Orders!$I$4:$I$123,IF($C$3="All","*",$C$3))</f>
        <v>23</v>
      </c>
      <c r="J7" s="13">
        <f ca="1">IF(I7=0,0,G7/I7)</f>
        <v>841.73913043478262</v>
      </c>
    </row>
    <row r="8" spans="1:15" x14ac:dyDescent="0.3">
      <c r="A8" s="12" t="s">
        <v>255</v>
      </c>
      <c r="B8" s="14">
        <f t="shared" ref="B8:G8" ca="1" si="0">SUM(B3:B7)</f>
        <v>19473</v>
      </c>
      <c r="C8" s="14">
        <f t="shared" ca="1" si="0"/>
        <v>19961</v>
      </c>
      <c r="D8" s="14">
        <f t="shared" ca="1" si="0"/>
        <v>21127</v>
      </c>
      <c r="E8" s="14">
        <f t="shared" ca="1" si="0"/>
        <v>20138</v>
      </c>
      <c r="F8" s="14">
        <f t="shared" ca="1" si="0"/>
        <v>21466</v>
      </c>
      <c r="G8" s="14">
        <f t="shared" ca="1" si="0"/>
        <v>102165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</vt:lpstr>
      <vt:lpstr>PREMIUM ORDERS</vt:lpstr>
      <vt:lpstr>TASK2</vt:lpstr>
      <vt:lpstr>RESTAURANT REFRENCES</vt:lpstr>
      <vt:lpstr>TASK3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Shah</dc:creator>
  <cp:lastModifiedBy>Diya Shah</cp:lastModifiedBy>
  <dcterms:created xsi:type="dcterms:W3CDTF">2026-09-05T06:42:32Z</dcterms:created>
  <dcterms:modified xsi:type="dcterms:W3CDTF">2026-09-09T19:41:45Z</dcterms:modified>
</cp:coreProperties>
</file>